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S51" sheetId="2" r:id="rId6"/>
    <sheet state="visible" name="S50" sheetId="3" r:id="rId7"/>
    <sheet state="visible" name="S49" sheetId="4" r:id="rId8"/>
    <sheet state="visible" name="S48" sheetId="5" r:id="rId9"/>
    <sheet state="visible" name="S47" sheetId="6" r:id="rId10"/>
    <sheet state="visible" name="S46" sheetId="7" r:id="rId11"/>
    <sheet state="visible" name="RULES" sheetId="8" r:id="rId12"/>
    <sheet state="visible" name="scrap" sheetId="9" r:id="rId13"/>
    <sheet state="visible" name="order" sheetId="10" r:id="rId14"/>
  </sheets>
  <definedNames/>
  <calcPr/>
</workbook>
</file>

<file path=xl/sharedStrings.xml><?xml version="1.0" encoding="utf-8"?>
<sst xmlns="http://schemas.openxmlformats.org/spreadsheetml/2006/main" count="942" uniqueCount="182">
  <si>
    <t>SURVIVOR 50 DRAFT</t>
  </si>
  <si>
    <t>SURVIVOR 51 DRAFT</t>
  </si>
  <si>
    <t>SURVIVOR 49 DRAFT</t>
  </si>
  <si>
    <t>Name</t>
  </si>
  <si>
    <t>Pick 1</t>
  </si>
  <si>
    <t>Pick 2</t>
  </si>
  <si>
    <t>Pick 3</t>
  </si>
  <si>
    <t>Pick 4</t>
  </si>
  <si>
    <t>#</t>
  </si>
  <si>
    <t>AVAILABLE PICKS</t>
  </si>
  <si>
    <t>Points</t>
  </si>
  <si>
    <t>Total</t>
  </si>
  <si>
    <t>$</t>
  </si>
  <si>
    <t>Rick</t>
  </si>
  <si>
    <t>Eleanor</t>
  </si>
  <si>
    <t>Mike</t>
  </si>
  <si>
    <t>Rizo</t>
  </si>
  <si>
    <t>Cirie</t>
  </si>
  <si>
    <t>Genevieve</t>
  </si>
  <si>
    <t>Savannah</t>
  </si>
  <si>
    <t>Prize:</t>
  </si>
  <si>
    <t>Dom</t>
  </si>
  <si>
    <t>Ryan</t>
  </si>
  <si>
    <t>Jonathan</t>
  </si>
  <si>
    <t>Sophi B</t>
  </si>
  <si>
    <t>Matt</t>
  </si>
  <si>
    <t>Nate</t>
  </si>
  <si>
    <t>Kristina</t>
  </si>
  <si>
    <t>Jared</t>
  </si>
  <si>
    <t>Robbie</t>
  </si>
  <si>
    <t>Brady</t>
  </si>
  <si>
    <t>Devin</t>
  </si>
  <si>
    <t>Kirt</t>
  </si>
  <si>
    <t>Jelly</t>
  </si>
  <si>
    <t>SAVU</t>
  </si>
  <si>
    <t>Joe</t>
  </si>
  <si>
    <t>Elise</t>
  </si>
  <si>
    <t>TOKA</t>
  </si>
  <si>
    <t>Shari</t>
  </si>
  <si>
    <t>MC</t>
  </si>
  <si>
    <t>✓</t>
  </si>
  <si>
    <t>Jawan</t>
  </si>
  <si>
    <t>Kris</t>
  </si>
  <si>
    <t>Shannon</t>
  </si>
  <si>
    <t>Alexis</t>
  </si>
  <si>
    <t>Annie</t>
  </si>
  <si>
    <t>Jenna</t>
  </si>
  <si>
    <t>Erin</t>
  </si>
  <si>
    <t>Aubry</t>
  </si>
  <si>
    <t>Grandma</t>
  </si>
  <si>
    <t>Tivin</t>
  </si>
  <si>
    <t>Jason</t>
  </si>
  <si>
    <t>Alex</t>
  </si>
  <si>
    <t>Steven</t>
  </si>
  <si>
    <t>Thien An</t>
  </si>
  <si>
    <t>Sharonda</t>
  </si>
  <si>
    <t>Ana</t>
  </si>
  <si>
    <t>Haley</t>
  </si>
  <si>
    <t>Luke</t>
  </si>
  <si>
    <t>Lewis</t>
  </si>
  <si>
    <t>Jacob G</t>
  </si>
  <si>
    <t>Lauren</t>
  </si>
  <si>
    <t>29+</t>
  </si>
  <si>
    <t>Jen</t>
  </si>
  <si>
    <t>Ori</t>
  </si>
  <si>
    <t>Maggie</t>
  </si>
  <si>
    <t>Shelly</t>
  </si>
  <si>
    <t>Carter</t>
  </si>
  <si>
    <t>Robin</t>
  </si>
  <si>
    <t>Charlie</t>
  </si>
  <si>
    <t>Josh</t>
  </si>
  <si>
    <t>Chrissy</t>
  </si>
  <si>
    <t>Christian</t>
  </si>
  <si>
    <t>Eric</t>
  </si>
  <si>
    <t>Keegan</t>
  </si>
  <si>
    <t>Kilby</t>
  </si>
  <si>
    <t>Kristin</t>
  </si>
  <si>
    <t>Linnea</t>
  </si>
  <si>
    <t>Kiana</t>
  </si>
  <si>
    <t>Patt</t>
  </si>
  <si>
    <t>Rob</t>
  </si>
  <si>
    <t>29-</t>
  </si>
  <si>
    <t>Sage</t>
  </si>
  <si>
    <t>Avary</t>
  </si>
  <si>
    <t>Cameron</t>
  </si>
  <si>
    <t>Tanner</t>
  </si>
  <si>
    <t>34+</t>
  </si>
  <si>
    <t>Jeremiah</t>
  </si>
  <si>
    <t>34-</t>
  </si>
  <si>
    <t>Emily</t>
  </si>
  <si>
    <t>CAST</t>
  </si>
  <si>
    <t>Kaleb</t>
  </si>
  <si>
    <t>Sophie S</t>
  </si>
  <si>
    <t>Player</t>
  </si>
  <si>
    <t>Pts</t>
  </si>
  <si>
    <t>38+</t>
  </si>
  <si>
    <t>Stephanie</t>
  </si>
  <si>
    <t>38-</t>
  </si>
  <si>
    <t>Coach</t>
  </si>
  <si>
    <t>Colby</t>
  </si>
  <si>
    <t>Tiffany</t>
  </si>
  <si>
    <t>Jake</t>
  </si>
  <si>
    <t>Q</t>
  </si>
  <si>
    <t>43+</t>
  </si>
  <si>
    <t>43-</t>
  </si>
  <si>
    <t>TIffany</t>
  </si>
  <si>
    <t>48+</t>
  </si>
  <si>
    <t>Ozzy</t>
  </si>
  <si>
    <t>Kamilla</t>
  </si>
  <si>
    <t>48-</t>
  </si>
  <si>
    <t>Angelina</t>
  </si>
  <si>
    <t>Nicole</t>
  </si>
  <si>
    <t>52+</t>
  </si>
  <si>
    <t>Dee</t>
  </si>
  <si>
    <t>52-</t>
  </si>
  <si>
    <t>Madison</t>
  </si>
  <si>
    <t>56+</t>
  </si>
  <si>
    <t>56-</t>
  </si>
  <si>
    <t>62+</t>
  </si>
  <si>
    <t>62-</t>
  </si>
  <si>
    <t>Kyle</t>
  </si>
  <si>
    <t>SURVIVOR 48 DRAFT</t>
  </si>
  <si>
    <t>Bianca</t>
  </si>
  <si>
    <t>Kevin</t>
  </si>
  <si>
    <t>Mitch</t>
  </si>
  <si>
    <t>Star</t>
  </si>
  <si>
    <t>Eva</t>
  </si>
  <si>
    <t>Thomas</t>
  </si>
  <si>
    <t>Shauhin</t>
  </si>
  <si>
    <t>Justin</t>
  </si>
  <si>
    <t>Mary</t>
  </si>
  <si>
    <t>David</t>
  </si>
  <si>
    <t>Cedrek</t>
  </si>
  <si>
    <t>35+</t>
  </si>
  <si>
    <t>Charity</t>
  </si>
  <si>
    <t>35-</t>
  </si>
  <si>
    <t>SURVIVOR 47 DRAFT</t>
  </si>
  <si>
    <t>SURVIVOR 46 DRAFT</t>
  </si>
  <si>
    <t>Saiounia</t>
  </si>
  <si>
    <t>40+</t>
  </si>
  <si>
    <t>40-</t>
  </si>
  <si>
    <t>Caroline</t>
  </si>
  <si>
    <t>Tiyana</t>
  </si>
  <si>
    <t>Kishan</t>
  </si>
  <si>
    <t>Rome</t>
  </si>
  <si>
    <t>Prizes:</t>
  </si>
  <si>
    <t>Maria</t>
  </si>
  <si>
    <t>Liz</t>
  </si>
  <si>
    <t>Teeny</t>
  </si>
  <si>
    <t>TK</t>
  </si>
  <si>
    <t>Soda</t>
  </si>
  <si>
    <t>Ben</t>
  </si>
  <si>
    <t>Venus</t>
  </si>
  <si>
    <t>Randen</t>
  </si>
  <si>
    <t>Sam</t>
  </si>
  <si>
    <t>Sierra</t>
  </si>
  <si>
    <t>Kenzie</t>
  </si>
  <si>
    <t>Moriah</t>
  </si>
  <si>
    <t>Jess</t>
  </si>
  <si>
    <t>Gabe</t>
  </si>
  <si>
    <t>33+</t>
  </si>
  <si>
    <t>Hunter</t>
  </si>
  <si>
    <t>Sol</t>
  </si>
  <si>
    <t>Sue</t>
  </si>
  <si>
    <t>Andy</t>
  </si>
  <si>
    <t>33-</t>
  </si>
  <si>
    <t>Aysha</t>
  </si>
  <si>
    <t>Jem</t>
  </si>
  <si>
    <t>Anika</t>
  </si>
  <si>
    <t>Tevin</t>
  </si>
  <si>
    <t>Tim</t>
  </si>
  <si>
    <t>41+</t>
  </si>
  <si>
    <t>41-</t>
  </si>
  <si>
    <t>Bhanu</t>
  </si>
  <si>
    <t>Rachel</t>
  </si>
  <si>
    <t>players</t>
  </si>
  <si>
    <t>contest</t>
  </si>
  <si>
    <t>after tn</t>
  </si>
  <si>
    <t>pick per player</t>
  </si>
  <si>
    <t>times player available</t>
  </si>
  <si>
    <t>available picks</t>
  </si>
  <si>
    <t>pick that will be made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</si>
</sst>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sz val="24.0"/>
      <color rgb="FF000000"/>
      <name val="Calibri"/>
    </font>
    <font/>
    <font>
      <b/>
      <sz val="12.0"/>
      <color rgb="FFFFFFFF"/>
      <name val="Calibri"/>
    </font>
    <font>
      <b/>
      <color rgb="FFFFFFFF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sz val="10.0"/>
      <color rgb="FF4A4A4A"/>
      <name val="&quot;Noto Sans Symbols 2&quot;"/>
    </font>
    <font>
      <color theme="1"/>
      <name val="Arial"/>
    </font>
    <font>
      <sz val="12.0"/>
      <color rgb="FFA6A6A6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5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92C67D"/>
        <bgColor rgb="FF92C67D"/>
      </patternFill>
    </fill>
    <fill>
      <patternFill patternType="solid">
        <fgColor rgb="FFD8D4FF"/>
        <bgColor rgb="FFD8D4FF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02FFEF"/>
        <bgColor rgb="FF02FFEF"/>
      </patternFill>
    </fill>
    <fill>
      <patternFill patternType="solid">
        <fgColor rgb="FF77FBA9"/>
        <bgColor rgb="FF77FBA9"/>
      </patternFill>
    </fill>
    <fill>
      <patternFill patternType="solid">
        <fgColor rgb="FFD8FDCD"/>
        <bgColor rgb="FFD8FDCD"/>
      </patternFill>
    </fill>
    <fill>
      <patternFill patternType="solid">
        <fgColor rgb="FFD9D9D9"/>
        <bgColor rgb="FFD9D9D9"/>
      </patternFill>
    </fill>
    <fill>
      <patternFill patternType="solid">
        <fgColor rgb="FF71C1FF"/>
        <bgColor rgb="FF71C1FF"/>
      </patternFill>
    </fill>
    <fill>
      <patternFill patternType="solid">
        <fgColor rgb="FF9B99FF"/>
        <bgColor rgb="FF9B99FF"/>
      </patternFill>
    </fill>
    <fill>
      <patternFill patternType="solid">
        <fgColor rgb="FFEEFFFF"/>
        <bgColor rgb="FFEEFFFF"/>
      </patternFill>
    </fill>
    <fill>
      <patternFill patternType="solid">
        <fgColor rgb="FFFFFF99"/>
        <bgColor rgb="FFFFFF99"/>
      </patternFill>
    </fill>
    <fill>
      <patternFill patternType="solid">
        <fgColor rgb="FFFF5F39"/>
        <bgColor rgb="FFFF5F39"/>
      </patternFill>
    </fill>
    <fill>
      <patternFill patternType="solid">
        <fgColor rgb="FFFF00FF"/>
        <bgColor rgb="FFFF00FF"/>
      </patternFill>
    </fill>
    <fill>
      <patternFill patternType="solid">
        <fgColor rgb="FFFFE6FF"/>
        <bgColor rgb="FFFFE6FF"/>
      </patternFill>
    </fill>
    <fill>
      <patternFill patternType="solid">
        <fgColor rgb="FF93C57D"/>
        <bgColor rgb="FF93C57D"/>
      </patternFill>
    </fill>
    <fill>
      <patternFill patternType="solid">
        <fgColor rgb="FFFFD6D6"/>
        <bgColor rgb="FFFFD6D6"/>
      </patternFill>
    </fill>
    <fill>
      <patternFill patternType="solid">
        <fgColor rgb="FF93FF31"/>
        <bgColor rgb="FF93FF31"/>
      </patternFill>
    </fill>
    <fill>
      <patternFill patternType="solid">
        <fgColor rgb="FFFF9A75"/>
        <bgColor rgb="FFFF9A75"/>
      </patternFill>
    </fill>
    <fill>
      <patternFill patternType="solid">
        <fgColor rgb="FFFFFF00"/>
        <bgColor rgb="FFFFFF00"/>
      </patternFill>
    </fill>
    <fill>
      <patternFill patternType="solid">
        <fgColor rgb="FF827DF4"/>
        <bgColor rgb="FF827DF4"/>
      </patternFill>
    </fill>
    <fill>
      <patternFill patternType="solid">
        <fgColor rgb="FF54F270"/>
        <bgColor rgb="FF54F270"/>
      </patternFill>
    </fill>
    <fill>
      <patternFill patternType="solid">
        <fgColor rgb="FFD6B7FF"/>
        <bgColor rgb="FFD6B7FF"/>
      </patternFill>
    </fill>
    <fill>
      <patternFill patternType="solid">
        <fgColor rgb="FFD7D4FE"/>
        <bgColor rgb="FFD7D4FE"/>
      </patternFill>
    </fill>
    <fill>
      <patternFill patternType="solid">
        <fgColor rgb="FFE68AFF"/>
        <bgColor rgb="FFE68AFF"/>
      </patternFill>
    </fill>
    <fill>
      <patternFill patternType="solid">
        <fgColor rgb="FFFFC700"/>
        <bgColor rgb="FFFFC700"/>
      </patternFill>
    </fill>
    <fill>
      <patternFill patternType="solid">
        <fgColor rgb="FF00FF00"/>
        <bgColor rgb="FF00FF00"/>
      </patternFill>
    </fill>
    <fill>
      <patternFill patternType="solid">
        <fgColor rgb="FFB54DD3"/>
        <bgColor rgb="FFB54DD3"/>
      </patternFill>
    </fill>
    <fill>
      <patternFill patternType="solid">
        <fgColor rgb="FFD7A6BD"/>
        <bgColor rgb="FFD7A6BD"/>
      </patternFill>
    </fill>
    <fill>
      <patternFill patternType="solid">
        <fgColor rgb="FF00FFEF"/>
        <bgColor rgb="FF00FFEF"/>
      </patternFill>
    </fill>
    <fill>
      <patternFill patternType="solid">
        <fgColor rgb="FFF9FDD7"/>
        <bgColor rgb="FFF9FDD7"/>
      </patternFill>
    </fill>
    <fill>
      <patternFill patternType="solid">
        <fgColor rgb="FFEB4A3A"/>
        <bgColor rgb="FFEB4A3A"/>
      </patternFill>
    </fill>
    <fill>
      <patternFill patternType="solid">
        <fgColor rgb="FFD6A6BD"/>
        <bgColor rgb="FFD6A6BD"/>
      </patternFill>
    </fill>
    <fill>
      <patternFill patternType="solid">
        <fgColor rgb="FFF196F2"/>
        <bgColor rgb="FFF196F2"/>
      </patternFill>
    </fill>
    <fill>
      <patternFill patternType="solid">
        <fgColor rgb="FFFDFF89"/>
        <bgColor rgb="FFFDFF89"/>
      </patternFill>
    </fill>
    <fill>
      <patternFill patternType="solid">
        <fgColor rgb="FFFFE9BA"/>
        <bgColor rgb="FFFFE9BA"/>
      </patternFill>
    </fill>
    <fill>
      <patternFill patternType="solid">
        <fgColor rgb="FFBDD7EE"/>
        <bgColor rgb="FFBDD7EE"/>
      </patternFill>
    </fill>
    <fill>
      <patternFill patternType="solid">
        <fgColor rgb="FFCCEDFF"/>
        <bgColor rgb="FFCCEDFF"/>
      </patternFill>
    </fill>
    <fill>
      <patternFill patternType="solid">
        <fgColor rgb="FF92C6FD"/>
        <bgColor rgb="FF92C6FD"/>
      </patternFill>
    </fill>
    <fill>
      <patternFill patternType="solid">
        <fgColor rgb="FFFFE8BA"/>
        <bgColor rgb="FFFFE8BA"/>
      </patternFill>
    </fill>
    <fill>
      <patternFill patternType="solid">
        <fgColor rgb="FFB7B7B7"/>
        <bgColor rgb="FFB7B7B7"/>
      </patternFill>
    </fill>
    <fill>
      <patternFill patternType="solid">
        <fgColor rgb="FFFD7478"/>
        <bgColor rgb="FFFD7478"/>
      </patternFill>
    </fill>
    <fill>
      <patternFill patternType="solid">
        <fgColor rgb="FFD5A6BD"/>
        <bgColor rgb="FFD5A6BD"/>
      </patternFill>
    </fill>
    <fill>
      <patternFill patternType="solid">
        <fgColor rgb="FFFB5D39"/>
        <bgColor rgb="FFFB5D39"/>
      </patternFill>
    </fill>
    <fill>
      <patternFill patternType="solid">
        <fgColor rgb="FFF1E7FF"/>
        <bgColor rgb="FFF1E7FF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</fills>
  <borders count="1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434343"/>
      </left>
      <right style="thin">
        <color rgb="FF000000"/>
      </right>
      <top style="thin">
        <color rgb="FF434343"/>
      </top>
    </border>
    <border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434343"/>
      </right>
      <top style="thin">
        <color rgb="FF434343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434343"/>
      </right>
      <top style="medium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6A6A6"/>
      </right>
      <top style="medium">
        <color rgb="FF000000"/>
      </top>
      <bottom style="thin">
        <color rgb="FFA6A6A6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  <top style="thin">
        <color rgb="FF434343"/>
      </top>
      <bottom style="thin">
        <color rgb="FFB7B7B7"/>
      </bottom>
    </border>
    <border>
      <right style="thin">
        <color rgb="FFB7B7B7"/>
      </right>
      <top style="thin">
        <color rgb="FF434343"/>
      </top>
      <bottom style="thin">
        <color rgb="FFB7B7B7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434343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08080"/>
      </bottom>
    </border>
    <border>
      <left style="thin">
        <color rgb="FFB7B7B7"/>
      </left>
      <right style="thin">
        <color rgb="FF434343"/>
      </right>
      <top style="thin">
        <color rgb="FF434343"/>
      </top>
      <bottom style="thin">
        <color rgb="FFB7B7B7"/>
      </bottom>
    </border>
    <border>
      <left style="thin">
        <color rgb="FF434343"/>
      </left>
      <right style="thin">
        <color rgb="FFB7B7B7"/>
      </right>
      <top style="thin">
        <color rgb="FF434343"/>
      </top>
      <bottom style="thin">
        <color rgb="FFB7B7B7"/>
      </bottom>
    </border>
    <border>
      <right style="thin">
        <color rgb="FF808080"/>
      </right>
      <top style="thin">
        <color rgb="FF000000"/>
      </top>
      <bottom style="thin">
        <color rgb="FF808080"/>
      </bottom>
    </border>
    <border>
      <right style="thin">
        <color rgb="FF000000"/>
      </right>
      <top style="thin">
        <color rgb="FF000000"/>
      </top>
      <bottom style="thin">
        <color rgb="FF808080"/>
      </bottom>
    </border>
    <border>
      <right style="thin">
        <color rgb="FF434343"/>
      </right>
      <top style="thin">
        <color rgb="FF434343"/>
      </top>
      <bottom style="thin">
        <color rgb="FFB7B7B7"/>
      </bottom>
    </border>
    <border>
      <left style="medium">
        <color rgb="FF000000"/>
      </left>
      <top style="medium">
        <color rgb="FF000000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808080"/>
      </top>
      <bottom style="thin">
        <color rgb="FF80808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6A6A6"/>
      </bottom>
    </border>
    <border>
      <right style="thin">
        <color rgb="FF000000"/>
      </right>
      <top style="thin">
        <color rgb="FF808080"/>
      </top>
      <bottom style="thin">
        <color rgb="FF808080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medium">
        <color rgb="FF000000"/>
      </left>
      <right style="thin">
        <color rgb="FF434343"/>
      </right>
      <top style="thin">
        <color rgb="FF999999"/>
      </top>
      <bottom style="thin">
        <color rgb="FF999999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medium">
        <color rgb="FF000000"/>
      </left>
      <top style="medium">
        <color rgb="FF666666"/>
      </top>
      <bottom style="medium">
        <color rgb="FF666666"/>
      </bottom>
    </border>
    <border>
      <left style="thin">
        <color rgb="FF000000"/>
      </left>
      <right style="thin">
        <color rgb="FF000000"/>
      </right>
      <top style="thin">
        <color rgb="FFA6A6A6"/>
      </top>
      <bottom style="thin">
        <color rgb="FFA6A6A6"/>
      </bottom>
    </border>
    <border>
      <top style="medium">
        <color rgb="FF666666"/>
      </top>
      <bottom style="medium">
        <color rgb="FF666666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434343"/>
      </right>
      <top style="thin">
        <color rgb="FFB7B7B7"/>
      </top>
      <bottom style="thin">
        <color rgb="FFB7B7B7"/>
      </bottom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right style="thin">
        <color rgb="FF434343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808080"/>
      </bottom>
    </border>
    <border>
      <right style="medium">
        <color rgb="FF000000"/>
      </right>
      <top style="medium">
        <color rgb="FF666666"/>
      </top>
      <bottom style="medium">
        <color rgb="FF666666"/>
      </bottom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808080"/>
      </right>
      <bottom style="thin">
        <color rgb="FF808080"/>
      </bottom>
    </border>
    <border>
      <left style="medium">
        <color rgb="FF000000"/>
      </left>
      <right style="medium">
        <color rgb="FF000000"/>
      </right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000000"/>
      </right>
      <bottom style="thin">
        <color rgb="FF808080"/>
      </bottom>
    </border>
    <border>
      <left style="medium">
        <color rgb="FF000000"/>
      </left>
      <right style="thin">
        <color rgb="FF666666"/>
      </right>
      <bottom style="thin">
        <color rgb="FF666666"/>
      </bottom>
    </border>
    <border>
      <right style="thin">
        <color rgb="FFA6A6A6"/>
      </right>
      <bottom style="thin">
        <color rgb="FFA6A6A6"/>
      </bottom>
    </border>
    <border>
      <right style="medium">
        <color rgb="FF000000"/>
      </right>
      <bottom style="thin">
        <color rgb="FFA6A6A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434343"/>
      </left>
      <top style="thin">
        <color rgb="FFB7B7B7"/>
      </top>
      <bottom style="thin">
        <color rgb="FFB7B7B7"/>
      </bottom>
    </border>
    <border>
      <left style="thin">
        <color rgb="FF434343"/>
      </left>
      <right style="thin">
        <color rgb="FF434343"/>
      </right>
      <top style="thin">
        <color rgb="FFB7B7B7"/>
      </top>
      <bottom style="thin">
        <color rgb="FFB7B7B7"/>
      </bottom>
    </border>
    <border>
      <left style="thin">
        <color rgb="FF666666"/>
      </left>
      <right style="medium">
        <color rgb="FF000000"/>
      </right>
      <bottom style="thin">
        <color rgb="FF666666"/>
      </bottom>
    </border>
    <border>
      <left style="thin">
        <color rgb="FF434343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medium">
        <color rgb="FF000000"/>
      </right>
      <bottom style="thin">
        <color rgb="FFA6A6A6"/>
      </bottom>
    </border>
    <border>
      <left style="medium">
        <color rgb="FF000000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thin">
        <color rgb="FF666666"/>
      </bottom>
    </border>
    <border>
      <right style="thin">
        <color rgb="FFA6A6A6"/>
      </right>
      <top style="thin">
        <color rgb="FF000000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6A6A6"/>
      </bottom>
    </border>
    <border>
      <left style="medium">
        <color rgb="FF000000"/>
      </left>
      <right style="thin">
        <color rgb="FF666666"/>
      </right>
      <top style="thin">
        <color rgb="FF666666"/>
      </top>
      <bottom style="medium">
        <color rgb="FF000000"/>
      </bottom>
    </border>
    <border>
      <left style="medium">
        <color rgb="FF666666"/>
      </left>
      <right style="thin">
        <color rgb="FF666666"/>
      </right>
      <top style="thin">
        <color rgb="FF666666"/>
      </top>
      <bottom style="medium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000000"/>
      </bottom>
    </border>
    <border>
      <left style="thin">
        <color rgb="FF666666"/>
      </left>
      <right style="medium">
        <color rgb="FF000000"/>
      </right>
      <top style="thin">
        <color rgb="FF666666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6A6A6"/>
      </right>
      <bottom style="thin">
        <color rgb="FF000000"/>
      </bottom>
    </border>
    <border>
      <right style="thin">
        <color rgb="FFA6A6A6"/>
      </right>
      <bottom style="thin">
        <color rgb="FF000000"/>
      </bottom>
    </border>
    <border>
      <left style="thin">
        <color rgb="FF000000"/>
      </left>
      <right style="thin">
        <color rgb="FFA6A6A6"/>
      </right>
      <bottom style="thin">
        <color rgb="FFA6A6A6"/>
      </bottom>
    </border>
    <border>
      <right style="thin">
        <color rgb="FFB7B7B7"/>
      </right>
      <top style="thin">
        <color rgb="FFB7B7B7"/>
      </top>
      <bottom style="thin">
        <color rgb="FF434343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434343"/>
      </bottom>
    </border>
    <border>
      <left style="thin">
        <color rgb="FFB7B7B7"/>
      </left>
      <right style="thin">
        <color rgb="FF434343"/>
      </right>
      <top style="thin">
        <color rgb="FFB7B7B7"/>
      </top>
      <bottom style="thin">
        <color rgb="FF434343"/>
      </bottom>
    </border>
    <border>
      <right style="thin">
        <color rgb="FF434343"/>
      </right>
      <top style="thin">
        <color rgb="FFB7B7B7"/>
      </top>
      <bottom style="thin">
        <color rgb="FF434343"/>
      </bottom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A6A6A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808080"/>
      </right>
      <bottom style="thin">
        <color rgb="FF000000"/>
      </bottom>
    </border>
    <border>
      <left style="medium">
        <color rgb="FF000000"/>
      </left>
      <right style="thin">
        <color rgb="FF434343"/>
      </right>
      <top style="thin">
        <color rgb="FF999999"/>
      </top>
      <bottom style="medium">
        <color rgb="FF000000"/>
      </bottom>
    </border>
    <border>
      <right style="thin">
        <color rgb="FFA6A6A6"/>
      </right>
      <bottom style="medium">
        <color rgb="FF000000"/>
      </bottom>
    </border>
    <border>
      <left style="thin">
        <color rgb="FF434343"/>
      </left>
      <top style="thin">
        <color rgb="FFB7B7B7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B7B7B7"/>
      </top>
      <bottom style="thin">
        <color rgb="FF434343"/>
      </bottom>
    </border>
    <border>
      <left style="thin">
        <color rgb="FF434343"/>
      </left>
      <right style="thin">
        <color rgb="FFB7B7B7"/>
      </right>
      <top style="thin">
        <color rgb="FFB7B7B7"/>
      </top>
      <bottom style="thin">
        <color rgb="FF434343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left style="thin">
        <color rgb="FF000000"/>
      </left>
      <right style="thin">
        <color rgb="FF000000"/>
      </right>
      <bottom style="thin">
        <color rgb="FFA6A6A6"/>
      </bottom>
    </border>
    <border>
      <top style="thin">
        <color rgb="FF000000"/>
      </top>
      <bottom style="thin">
        <color rgb="FFA6A6A6"/>
      </bottom>
    </border>
    <border>
      <bottom style="thin">
        <color rgb="FFA6A6A6"/>
      </bottom>
    </border>
    <border>
      <left style="thin">
        <color rgb="FF000000"/>
      </left>
      <right style="thin">
        <color rgb="FF000000"/>
      </right>
    </border>
    <border>
      <right style="thin">
        <color rgb="FFA6A6A6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A6A6A6"/>
      </top>
    </border>
    <border>
      <right style="thin">
        <color rgb="FFA6A6A6"/>
      </right>
      <top style="thin">
        <color rgb="FFA6A6A6"/>
      </top>
    </border>
    <border>
      <right style="thin">
        <color rgb="FF000000"/>
      </right>
      <top style="thin">
        <color rgb="FFA6A6A6"/>
      </top>
    </border>
    <border>
      <left style="thin">
        <color rgb="FF000000"/>
      </left>
      <right style="thin">
        <color rgb="FF000000"/>
      </right>
      <top style="thin">
        <color rgb="FFA6A6A6"/>
      </top>
      <bottom style="thin">
        <color rgb="FF000000"/>
      </bottom>
    </border>
    <border>
      <right style="thin">
        <color rgb="FFA6A6A6"/>
      </right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</borders>
  <cellStyleXfs count="1">
    <xf borderId="0" fillId="0" fontId="0" numFmtId="0" applyAlignment="1" applyFont="1"/>
  </cellStyleXfs>
  <cellXfs count="59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3" fontId="2" numFmtId="0" xfId="0" applyAlignment="1" applyFill="1" applyFont="1">
      <alignment shrinkToFit="0" vertical="bottom" wrapText="0"/>
    </xf>
    <xf borderId="7" fillId="4" fontId="5" numFmtId="0" xfId="0" applyAlignment="1" applyBorder="1" applyFill="1" applyFont="1">
      <alignment horizontal="center" readingOrder="0" shrinkToFit="0" wrapText="0"/>
    </xf>
    <xf borderId="1" fillId="4" fontId="5" numFmtId="0" xfId="0" applyAlignment="1" applyBorder="1" applyFill="1" applyFont="1">
      <alignment horizontal="center" readingOrder="0" shrinkToFit="0" wrapText="0"/>
    </xf>
    <xf borderId="8" fillId="4" fontId="5" numFmtId="0" xfId="0" applyAlignment="1" applyBorder="1" applyFill="1" applyFont="1">
      <alignment horizontal="center" readingOrder="0" shrinkToFit="0" wrapText="0"/>
    </xf>
    <xf borderId="2" fillId="4" fontId="5" numFmtId="0" xfId="0" applyAlignment="1" applyBorder="1" applyFill="1" applyFont="1">
      <alignment horizontal="center" readingOrder="0" shrinkToFit="0" wrapText="0"/>
    </xf>
    <xf borderId="9" fillId="4" fontId="5" numFmtId="0" xfId="0" applyAlignment="1" applyBorder="1" applyFill="1" applyFont="1">
      <alignment horizontal="center" readingOrder="0" shrinkToFit="0" wrapText="0"/>
    </xf>
    <xf borderId="3" fillId="4" fontId="5" numFmtId="0" xfId="0" applyAlignment="1" applyBorder="1" applyFill="1" applyFont="1">
      <alignment horizontal="center" readingOrder="0" shrinkToFit="0" wrapText="0"/>
    </xf>
    <xf borderId="10" fillId="4" fontId="5" numFmtId="0" xfId="0" applyAlignment="1" applyBorder="1" applyFill="1" applyFont="1">
      <alignment horizontal="center" readingOrder="0" shrinkToFit="0" wrapText="0"/>
    </xf>
    <xf borderId="0" fillId="3" fontId="5" numFmtId="0" xfId="0" applyAlignment="1" applyFill="1" applyFont="1">
      <alignment horizontal="center" shrinkToFit="0" wrapText="0"/>
    </xf>
    <xf borderId="11" fillId="4" fontId="5" numFmtId="0" xfId="0" applyAlignment="1" applyBorder="1" applyFill="1" applyFont="1">
      <alignment horizontal="center" readingOrder="0" shrinkToFit="0" wrapText="0"/>
    </xf>
    <xf borderId="12" fillId="4" fontId="5" numFmtId="0" xfId="0" applyAlignment="1" applyBorder="1" applyFill="1" applyFont="1">
      <alignment horizontal="center" readingOrder="0" shrinkToFit="0" wrapText="0"/>
    </xf>
    <xf borderId="11" fillId="0" fontId="4" numFmtId="0" xfId="0" applyBorder="1" applyFont="1"/>
    <xf borderId="11" fillId="4" fontId="5" numFmtId="0" xfId="0" applyAlignment="1" applyBorder="1" applyFill="1" applyFont="1">
      <alignment horizontal="center" shrinkToFit="0" wrapText="0"/>
    </xf>
    <xf borderId="13" fillId="4" fontId="6" numFmtId="0" xfId="0" applyAlignment="1" applyBorder="1" applyFill="1" applyFont="1">
      <alignment horizontal="center" readingOrder="0" vertical="center"/>
    </xf>
    <xf borderId="14" fillId="4" fontId="5" numFmtId="0" xfId="0" applyAlignment="1" applyBorder="1" applyFill="1" applyFont="1">
      <alignment horizontal="center" readingOrder="0" shrinkToFit="0" wrapText="0"/>
    </xf>
    <xf borderId="15" fillId="4" fontId="5" numFmtId="0" xfId="0" applyAlignment="1" applyBorder="1" applyFill="1" applyFont="1">
      <alignment horizontal="center" readingOrder="0" shrinkToFit="0" wrapText="0"/>
    </xf>
    <xf borderId="13" fillId="4" fontId="5" numFmtId="0" xfId="0" applyAlignment="1" applyBorder="1" applyFill="1" applyFont="1">
      <alignment horizontal="center" readingOrder="0" shrinkToFit="0" wrapText="0"/>
    </xf>
    <xf borderId="15" fillId="0" fontId="4" numFmtId="0" xfId="0" applyBorder="1" applyFont="1"/>
    <xf borderId="0" fillId="2" fontId="1" numFmtId="0" xfId="0" applyAlignment="1" applyFill="1" applyFont="1">
      <alignment readingOrder="0"/>
    </xf>
    <xf borderId="15" fillId="4" fontId="5" numFmtId="0" xfId="0" applyAlignment="1" applyBorder="1" applyFill="1" applyFont="1">
      <alignment horizontal="center" shrinkToFit="0" wrapText="0"/>
    </xf>
    <xf borderId="8" fillId="0" fontId="4" numFmtId="0" xfId="0" applyBorder="1" applyFont="1"/>
    <xf borderId="16" fillId="5" fontId="7" numFmtId="0" xfId="0" applyAlignment="1" applyBorder="1" applyFill="1" applyFont="1">
      <alignment horizontal="center" readingOrder="0" shrinkToFit="0" wrapText="0"/>
    </xf>
    <xf borderId="17" fillId="6" fontId="7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18" fillId="4" fontId="5" numFmtId="0" xfId="0" applyAlignment="1" applyBorder="1" applyFill="1" applyFont="1">
      <alignment horizontal="center" readingOrder="0" shrinkToFit="0" wrapText="0"/>
    </xf>
    <xf borderId="19" fillId="7" fontId="2" numFmtId="0" xfId="0" applyAlignment="1" applyBorder="1" applyFill="1" applyFont="1">
      <alignment horizontal="center" readingOrder="0" shrinkToFit="0" wrapText="0"/>
    </xf>
    <xf borderId="20" fillId="0" fontId="2" numFmtId="0" xfId="0" applyAlignment="1" applyBorder="1" applyFont="1">
      <alignment horizontal="center" readingOrder="0" shrinkToFit="0" wrapText="0"/>
    </xf>
    <xf borderId="0" fillId="3" fontId="5" numFmtId="0" xfId="0" applyAlignment="1" applyFill="1" applyFont="1">
      <alignment shrinkToFit="0" vertical="bottom" wrapText="0"/>
    </xf>
    <xf borderId="21" fillId="7" fontId="2" numFmtId="0" xfId="0" applyAlignment="1" applyBorder="1" applyFill="1" applyFont="1">
      <alignment horizontal="center" readingOrder="0" shrinkToFit="0" wrapText="0"/>
    </xf>
    <xf borderId="22" fillId="8" fontId="7" numFmtId="0" xfId="0" applyAlignment="1" applyBorder="1" applyFill="1" applyFont="1">
      <alignment horizontal="center" readingOrder="0" shrinkToFit="0" wrapText="0"/>
    </xf>
    <xf borderId="23" fillId="9" fontId="7" numFmtId="0" xfId="0" applyAlignment="1" applyBorder="1" applyFill="1" applyFont="1">
      <alignment horizontal="center" readingOrder="0" shrinkToFit="0" wrapText="0"/>
    </xf>
    <xf borderId="0" fillId="3" fontId="7" numFmtId="0" xfId="0" applyAlignment="1" applyFill="1" applyFont="1">
      <alignment horizontal="center" readingOrder="0" shrinkToFit="0" vertical="bottom" wrapText="0"/>
    </xf>
    <xf borderId="24" fillId="0" fontId="2" numFmtId="0" xfId="0" applyAlignment="1" applyBorder="1" applyFont="1">
      <alignment horizontal="center" readingOrder="0" shrinkToFit="0" wrapText="0"/>
    </xf>
    <xf borderId="25" fillId="9" fontId="7" numFmtId="0" xfId="0" applyAlignment="1" applyBorder="1" applyFill="1" applyFont="1">
      <alignment horizontal="center" readingOrder="0" shrinkToFit="0" wrapText="0"/>
    </xf>
    <xf borderId="26" fillId="0" fontId="2" numFmtId="0" xfId="0" applyAlignment="1" applyBorder="1" applyFont="1">
      <alignment horizontal="center" readingOrder="0" shrinkToFit="0" wrapText="0"/>
    </xf>
    <xf borderId="27" fillId="10" fontId="7" numFmtId="0" xfId="0" applyAlignment="1" applyBorder="1" applyFill="1" applyFont="1">
      <alignment horizontal="center" readingOrder="0" shrinkToFit="0" wrapText="0"/>
    </xf>
    <xf borderId="28" fillId="0" fontId="2" numFmtId="0" xfId="0" applyAlignment="1" applyBorder="1" applyFont="1">
      <alignment horizontal="center" readingOrder="0" shrinkToFit="0" wrapText="0"/>
    </xf>
    <xf borderId="29" fillId="9" fontId="2" numFmtId="0" xfId="0" applyAlignment="1" applyBorder="1" applyFill="1" applyFont="1">
      <alignment horizontal="center" readingOrder="0" shrinkToFit="0" wrapText="0"/>
    </xf>
    <xf borderId="30" fillId="7" fontId="2" numFmtId="0" xfId="0" applyAlignment="1" applyBorder="1" applyFill="1" applyFont="1">
      <alignment horizontal="center" readingOrder="0" shrinkToFit="0" wrapText="0"/>
    </xf>
    <xf borderId="26" fillId="9" fontId="2" numFmtId="0" xfId="0" applyAlignment="1" applyBorder="1" applyFill="1" applyFont="1">
      <alignment horizontal="center" readingOrder="0" shrinkToFit="0" wrapText="0"/>
    </xf>
    <xf borderId="31" fillId="7" fontId="2" numFmtId="0" xfId="0" applyAlignment="1" applyBorder="1" applyFill="1" applyFont="1">
      <alignment horizontal="center" readingOrder="0" shrinkToFit="0" wrapText="0"/>
    </xf>
    <xf borderId="32" fillId="0" fontId="2" numFmtId="0" xfId="0" applyAlignment="1" applyBorder="1" applyFont="1">
      <alignment horizontal="center" readingOrder="0" shrinkToFit="0" wrapText="0"/>
    </xf>
    <xf borderId="0" fillId="3" fontId="2" numFmtId="0" xfId="0" applyAlignment="1" applyFill="1" applyFont="1">
      <alignment horizontal="center" shrinkToFit="0" wrapText="0"/>
    </xf>
    <xf borderId="0" fillId="2" fontId="8" numFmtId="164" xfId="0" applyAlignment="1" applyFill="1" applyFont="1" applyNumberFormat="1">
      <alignment horizontal="left" readingOrder="0"/>
    </xf>
    <xf borderId="28" fillId="9" fontId="2" numFmtId="0" xfId="0" applyAlignment="1" applyBorder="1" applyFill="1" applyFont="1">
      <alignment horizontal="center" readingOrder="0" shrinkToFit="0" wrapText="0"/>
    </xf>
    <xf borderId="9" fillId="0" fontId="4" numFmtId="0" xfId="0" applyBorder="1" applyFont="1"/>
    <xf borderId="32" fillId="9" fontId="2" numFmtId="0" xfId="0" applyAlignment="1" applyBorder="1" applyFill="1" applyFont="1">
      <alignment horizontal="center" readingOrder="0" shrinkToFit="0" wrapText="0"/>
    </xf>
    <xf borderId="33" fillId="0" fontId="7" numFmtId="0" xfId="0" applyAlignment="1" applyBorder="1" applyFont="1">
      <alignment horizontal="center" readingOrder="0" shrinkToFit="0" wrapText="0"/>
    </xf>
    <xf borderId="34" fillId="11" fontId="7" numFmtId="0" xfId="0" applyAlignment="1" applyBorder="1" applyFill="1" applyFont="1">
      <alignment horizontal="center" readingOrder="0" shrinkToFit="0" wrapText="0"/>
    </xf>
    <xf borderId="35" fillId="0" fontId="2" numFmtId="0" xfId="0" applyAlignment="1" applyBorder="1" applyFont="1">
      <alignment horizontal="center" readingOrder="0" shrinkToFit="0" wrapText="0"/>
    </xf>
    <xf borderId="33" fillId="6" fontId="7" numFmtId="0" xfId="0" applyAlignment="1" applyBorder="1" applyFill="1" applyFont="1">
      <alignment horizontal="center" readingOrder="0" shrinkToFit="0" wrapText="0"/>
    </xf>
    <xf borderId="36" fillId="11" fontId="7" numFmtId="0" xfId="0" applyAlignment="1" applyBorder="1" applyFill="1" applyFont="1">
      <alignment horizontal="center" readingOrder="0" shrinkToFit="0" wrapText="0"/>
    </xf>
    <xf borderId="16" fillId="12" fontId="7" numFmtId="0" xfId="0" applyAlignment="1" applyBorder="1" applyFill="1" applyFont="1">
      <alignment horizontal="center" readingOrder="0" shrinkToFit="0" wrapText="0"/>
    </xf>
    <xf borderId="37" fillId="11" fontId="2" numFmtId="0" xfId="0" applyAlignment="1" applyBorder="1" applyFill="1" applyFont="1">
      <alignment horizontal="center" readingOrder="0" shrinkToFit="0" wrapText="0"/>
    </xf>
    <xf borderId="38" fillId="13" fontId="7" numFmtId="0" xfId="0" applyAlignment="1" applyBorder="1" applyFill="1" applyFont="1">
      <alignment horizontal="center" readingOrder="0" shrinkToFit="0" wrapText="0"/>
    </xf>
    <xf borderId="39" fillId="11" fontId="2" numFmtId="0" xfId="0" applyAlignment="1" applyBorder="1" applyFill="1" applyFont="1">
      <alignment horizontal="center" readingOrder="0" shrinkToFit="0" wrapText="0"/>
    </xf>
    <xf borderId="40" fillId="14" fontId="1" numFmtId="0" xfId="0" applyAlignment="1" applyBorder="1" applyFill="1" applyFont="1">
      <alignment horizontal="center" readingOrder="0"/>
    </xf>
    <xf borderId="22" fillId="15" fontId="7" numFmtId="0" xfId="0" applyAlignment="1" applyBorder="1" applyFill="1" applyFont="1">
      <alignment horizontal="center" readingOrder="0" shrinkToFit="0" wrapText="0"/>
    </xf>
    <xf borderId="41" fillId="11" fontId="7" numFmtId="0" xfId="0" applyAlignment="1" applyBorder="1" applyFill="1" applyFont="1">
      <alignment horizontal="center" readingOrder="0" shrinkToFit="0" wrapText="0"/>
    </xf>
    <xf borderId="42" fillId="0" fontId="4" numFmtId="0" xfId="0" applyBorder="1" applyFont="1"/>
    <xf borderId="43" fillId="0" fontId="2" numFmtId="0" xfId="0" applyAlignment="1" applyBorder="1" applyFont="1">
      <alignment horizontal="center" readingOrder="0" shrinkToFit="0" wrapText="0"/>
    </xf>
    <xf borderId="0" fillId="3" fontId="5" numFmtId="0" xfId="0" applyAlignment="1" applyFill="1" applyFont="1">
      <alignment shrinkToFit="0" vertical="bottom" wrapText="0"/>
    </xf>
    <xf borderId="44" fillId="0" fontId="4" numFmtId="0" xfId="0" applyBorder="1" applyFont="1"/>
    <xf borderId="45" fillId="0" fontId="2" numFmtId="0" xfId="0" applyAlignment="1" applyBorder="1" applyFont="1">
      <alignment horizontal="center" readingOrder="0" shrinkToFit="0" wrapText="0"/>
    </xf>
    <xf borderId="0" fillId="3" fontId="7" numFmtId="164" xfId="0" applyAlignment="1" applyFill="1" applyFont="1" applyNumberFormat="1">
      <alignment horizontal="center" readingOrder="0" shrinkToFit="0" wrapText="0"/>
    </xf>
    <xf borderId="46" fillId="0" fontId="2" numFmtId="0" xfId="0" applyAlignment="1" applyBorder="1" applyFont="1">
      <alignment horizontal="center" readingOrder="0" shrinkToFit="0" wrapText="0"/>
    </xf>
    <xf borderId="47" fillId="16" fontId="1" numFmtId="0" xfId="0" applyAlignment="1" applyBorder="1" applyFill="1" applyFont="1">
      <alignment horizontal="center" readingOrder="0"/>
    </xf>
    <xf borderId="48" fillId="0" fontId="2" numFmtId="0" xfId="0" applyAlignment="1" applyBorder="1" applyFont="1">
      <alignment horizontal="center" readingOrder="0" shrinkToFit="0" wrapText="0"/>
    </xf>
    <xf borderId="49" fillId="17" fontId="7" numFmtId="0" xfId="0" applyAlignment="1" applyBorder="1" applyFill="1" applyFont="1">
      <alignment horizontal="center" readingOrder="0" shrinkToFit="0" wrapText="0"/>
    </xf>
    <xf borderId="50" fillId="0" fontId="4" numFmtId="0" xfId="0" applyBorder="1" applyFont="1"/>
    <xf borderId="51" fillId="0" fontId="7" numFmtId="0" xfId="0" applyAlignment="1" applyBorder="1" applyFont="1">
      <alignment horizontal="center" readingOrder="0" shrinkToFit="0" wrapText="0"/>
    </xf>
    <xf borderId="52" fillId="7" fontId="2" numFmtId="0" xfId="0" applyAlignment="1" applyBorder="1" applyFill="1" applyFont="1">
      <alignment horizontal="center" readingOrder="0" shrinkToFit="0" wrapText="0"/>
    </xf>
    <xf borderId="53" fillId="0" fontId="9" numFmtId="0" xfId="0" applyAlignment="1" applyBorder="1" applyFont="1">
      <alignment horizontal="center" readingOrder="0" shrinkToFit="0" wrapText="0"/>
    </xf>
    <xf borderId="54" fillId="7" fontId="2" numFmtId="0" xfId="0" applyAlignment="1" applyBorder="1" applyFill="1" applyFont="1">
      <alignment horizontal="center" readingOrder="0" shrinkToFit="0" wrapText="0"/>
    </xf>
    <xf borderId="16" fillId="18" fontId="7" numFmtId="0" xfId="0" applyAlignment="1" applyBorder="1" applyFill="1" applyFont="1">
      <alignment horizontal="center" readingOrder="0" shrinkToFit="0" wrapText="0"/>
    </xf>
    <xf borderId="55" fillId="7" fontId="2" numFmtId="0" xfId="0" applyAlignment="1" applyBorder="1" applyFill="1" applyFont="1">
      <alignment horizontal="center" readingOrder="0" shrinkToFit="0" wrapText="0"/>
    </xf>
    <xf borderId="56" fillId="7" fontId="1" numFmtId="0" xfId="0" applyAlignment="1" applyBorder="1" applyFill="1" applyFont="1">
      <alignment horizontal="center" readingOrder="0" vertical="center"/>
    </xf>
    <xf borderId="22" fillId="19" fontId="7" numFmtId="0" xfId="0" applyAlignment="1" applyBorder="1" applyFill="1" applyFont="1">
      <alignment horizontal="center" readingOrder="0" shrinkToFit="0" wrapText="0"/>
    </xf>
    <xf borderId="34" fillId="20" fontId="7" numFmtId="0" xfId="0" applyAlignment="1" applyBorder="1" applyFill="1" applyFont="1">
      <alignment horizontal="center" readingOrder="0" shrinkToFit="0" wrapText="0"/>
    </xf>
    <xf borderId="16" fillId="15" fontId="7" numFmtId="0" xfId="0" applyAlignment="1" applyBorder="1" applyFill="1" applyFont="1">
      <alignment horizontal="center" readingOrder="0" shrinkToFit="0" wrapText="0"/>
    </xf>
    <xf borderId="36" fillId="20" fontId="7" numFmtId="0" xfId="0" applyAlignment="1" applyBorder="1" applyFill="1" applyFont="1">
      <alignment horizontal="center" readingOrder="0" shrinkToFit="0" wrapText="0"/>
    </xf>
    <xf borderId="37" fillId="20" fontId="2" numFmtId="0" xfId="0" applyAlignment="1" applyBorder="1" applyFill="1" applyFont="1">
      <alignment horizontal="center" readingOrder="0" shrinkToFit="0" wrapText="0"/>
    </xf>
    <xf borderId="57" fillId="7" fontId="2" numFmtId="0" xfId="0" applyAlignment="1" applyBorder="1" applyFill="1" applyFont="1">
      <alignment horizontal="center" readingOrder="0" shrinkToFit="0" wrapText="0"/>
    </xf>
    <xf borderId="39" fillId="20" fontId="2" numFmtId="0" xfId="0" applyAlignment="1" applyBorder="1" applyFill="1" applyFont="1">
      <alignment horizontal="center" readingOrder="0" shrinkToFit="0" wrapText="0"/>
    </xf>
    <xf borderId="22" fillId="21" fontId="7" numFmtId="0" xfId="0" applyAlignment="1" applyBorder="1" applyFill="1" applyFont="1">
      <alignment horizontal="center" readingOrder="0" shrinkToFit="0" wrapText="0"/>
    </xf>
    <xf borderId="41" fillId="20" fontId="7" numFmtId="0" xfId="0" applyAlignment="1" applyBorder="1" applyFill="1" applyFont="1">
      <alignment horizontal="center" readingOrder="0" shrinkToFit="0" wrapText="0"/>
    </xf>
    <xf borderId="39" fillId="22" fontId="2" numFmtId="0" xfId="0" applyAlignment="1" applyBorder="1" applyFill="1" applyFont="1">
      <alignment horizontal="center" readingOrder="0" shrinkToFit="0" wrapText="0"/>
    </xf>
    <xf borderId="49" fillId="23" fontId="7" numFmtId="0" xfId="0" applyAlignment="1" applyBorder="1" applyFill="1" applyFont="1">
      <alignment horizontal="center" readingOrder="0" shrinkToFit="0" wrapText="0"/>
    </xf>
    <xf borderId="39" fillId="7" fontId="2" numFmtId="0" xfId="0" applyAlignment="1" applyBorder="1" applyFill="1" applyFont="1">
      <alignment horizontal="center" readingOrder="0" shrinkToFit="0" wrapText="0"/>
    </xf>
    <xf borderId="34" fillId="15" fontId="7" numFmtId="0" xfId="0" applyAlignment="1" applyBorder="1" applyFill="1" applyFont="1">
      <alignment horizontal="center" readingOrder="0" shrinkToFit="0" wrapText="0"/>
    </xf>
    <xf borderId="58" fillId="7" fontId="2" numFmtId="0" xfId="0" applyAlignment="1" applyBorder="1" applyFill="1" applyFont="1">
      <alignment horizontal="center" readingOrder="0" shrinkToFit="0" wrapText="0"/>
    </xf>
    <xf borderId="36" fillId="15" fontId="7" numFmtId="0" xfId="0" applyAlignment="1" applyBorder="1" applyFill="1" applyFont="1">
      <alignment horizontal="center" readingOrder="0" shrinkToFit="0" wrapText="0"/>
    </xf>
    <xf borderId="59" fillId="7" fontId="1" numFmtId="0" xfId="0" applyAlignment="1" applyBorder="1" applyFill="1" applyFont="1">
      <alignment horizontal="center" readingOrder="0" vertical="center"/>
    </xf>
    <xf borderId="60" fillId="23" fontId="7" numFmtId="0" xfId="0" applyAlignment="1" applyBorder="1" applyFill="1" applyFont="1">
      <alignment horizontal="center" readingOrder="0" shrinkToFit="0" wrapText="0"/>
    </xf>
    <xf borderId="59" fillId="14" fontId="1" numFmtId="0" xfId="0" applyAlignment="1" applyBorder="1" applyFill="1" applyFont="1">
      <alignment horizontal="center" readingOrder="0" vertical="center"/>
    </xf>
    <xf borderId="61" fillId="23" fontId="7" numFmtId="0" xfId="0" applyAlignment="1" applyBorder="1" applyFill="1" applyFont="1">
      <alignment horizontal="center" readingOrder="0" shrinkToFit="0" wrapText="0"/>
    </xf>
    <xf borderId="16" fillId="11" fontId="7" numFmtId="0" xfId="0" applyAlignment="1" applyBorder="1" applyFill="1" applyFont="1">
      <alignment horizontal="center" readingOrder="0" shrinkToFit="0" wrapText="0"/>
    </xf>
    <xf borderId="62" fillId="7" fontId="1" numFmtId="0" xfId="0" applyAlignment="1" applyBorder="1" applyFill="1" applyFont="1">
      <alignment horizontal="center" readingOrder="0" vertical="center"/>
    </xf>
    <xf borderId="63" fillId="23" fontId="2" numFmtId="0" xfId="0" applyAlignment="1" applyBorder="1" applyFill="1" applyFont="1">
      <alignment horizontal="center" readingOrder="0" shrinkToFit="0" wrapText="0"/>
    </xf>
    <xf borderId="45" fillId="23" fontId="2" numFmtId="0" xfId="0" applyAlignment="1" applyBorder="1" applyFill="1" applyFont="1">
      <alignment horizontal="center" readingOrder="0" shrinkToFit="0" wrapText="0"/>
    </xf>
    <xf borderId="22" fillId="24" fontId="7" numFmtId="0" xfId="0" applyAlignment="1" applyBorder="1" applyFill="1" applyFont="1">
      <alignment horizontal="center" readingOrder="0" shrinkToFit="0" wrapText="0"/>
    </xf>
    <xf borderId="16" fillId="25" fontId="7" numFmtId="0" xfId="0" applyAlignment="1" applyBorder="1" applyFill="1" applyFont="1">
      <alignment horizontal="center" readingOrder="0" shrinkToFit="0" wrapText="0"/>
    </xf>
    <xf borderId="22" fillId="26" fontId="7" numFmtId="0" xfId="0" applyAlignment="1" applyBorder="1" applyFill="1" applyFont="1">
      <alignment horizontal="center" readingOrder="0" shrinkToFit="0" wrapText="0"/>
    </xf>
    <xf borderId="16" fillId="13" fontId="7" numFmtId="0" xfId="0" applyAlignment="1" applyBorder="1" applyFill="1" applyFont="1">
      <alignment horizontal="center" readingOrder="0" shrinkToFit="0" wrapText="0"/>
    </xf>
    <xf borderId="37" fillId="15" fontId="2" numFmtId="0" xfId="0" applyAlignment="1" applyBorder="1" applyFill="1" applyFont="1">
      <alignment horizontal="center" readingOrder="0" shrinkToFit="0" wrapText="0"/>
    </xf>
    <xf borderId="22" fillId="11" fontId="7" numFmtId="0" xfId="0" applyAlignment="1" applyBorder="1" applyFill="1" applyFont="1">
      <alignment horizontal="center" readingOrder="0" shrinkToFit="0" wrapText="0"/>
    </xf>
    <xf borderId="39" fillId="15" fontId="2" numFmtId="0" xfId="0" applyAlignment="1" applyBorder="1" applyFill="1" applyFont="1">
      <alignment horizontal="center" readingOrder="0" shrinkToFit="0" wrapText="0"/>
    </xf>
    <xf borderId="46" fillId="23" fontId="2" numFmtId="0" xfId="0" applyAlignment="1" applyBorder="1" applyFill="1" applyFont="1">
      <alignment horizontal="center" readingOrder="0" shrinkToFit="0" wrapText="0"/>
    </xf>
    <xf borderId="64" fillId="0" fontId="2" numFmtId="0" xfId="0" applyAlignment="1" applyBorder="1" applyFont="1">
      <alignment horizontal="center" readingOrder="0" shrinkToFit="0" wrapText="0"/>
    </xf>
    <xf borderId="41" fillId="15" fontId="7" numFmtId="0" xfId="0" applyAlignment="1" applyBorder="1" applyFill="1" applyFont="1">
      <alignment horizontal="center" readingOrder="0" shrinkToFit="0" wrapText="0"/>
    </xf>
    <xf borderId="16" fillId="27" fontId="7" numFmtId="0" xfId="0" applyAlignment="1" applyBorder="1" applyFill="1" applyFont="1">
      <alignment horizontal="center" readingOrder="0" shrinkToFit="0" wrapText="0"/>
    </xf>
    <xf borderId="48" fillId="23" fontId="2" numFmtId="0" xfId="0" applyAlignment="1" applyBorder="1" applyFill="1" applyFont="1">
      <alignment horizontal="center" readingOrder="0" shrinkToFit="0" wrapText="0"/>
    </xf>
    <xf borderId="65" fillId="14" fontId="1" numFmtId="0" xfId="0" applyAlignment="1" applyBorder="1" applyFill="1" applyFont="1">
      <alignment horizontal="center" readingOrder="0" vertical="center"/>
    </xf>
    <xf borderId="66" fillId="14" fontId="1" numFmtId="0" xfId="0" applyAlignment="1" applyBorder="1" applyFill="1" applyFont="1">
      <alignment horizontal="center" readingOrder="0" vertical="center"/>
    </xf>
    <xf borderId="66" fillId="7" fontId="1" numFmtId="0" xfId="0" applyAlignment="1" applyBorder="1" applyFill="1" applyFont="1">
      <alignment horizontal="center" readingOrder="0" vertical="center"/>
    </xf>
    <xf borderId="49" fillId="28" fontId="7" numFmtId="0" xfId="0" applyAlignment="1" applyBorder="1" applyFill="1" applyFont="1">
      <alignment horizontal="center" readingOrder="0" shrinkToFit="0" wrapText="0"/>
    </xf>
    <xf borderId="22" fillId="29" fontId="7" numFmtId="0" xfId="0" applyAlignment="1" applyBorder="1" applyFill="1" applyFont="1">
      <alignment horizontal="center" readingOrder="0" shrinkToFit="0" wrapText="0"/>
    </xf>
    <xf borderId="51" fillId="13" fontId="7" numFmtId="0" xfId="0" applyAlignment="1" applyBorder="1" applyFill="1" applyFont="1">
      <alignment horizontal="center" readingOrder="0" shrinkToFit="0" wrapText="0"/>
    </xf>
    <xf borderId="16" fillId="19" fontId="7" numFmtId="0" xfId="0" applyAlignment="1" applyBorder="1" applyFill="1" applyFont="1">
      <alignment horizontal="center" readingOrder="0" shrinkToFit="0" wrapText="0"/>
    </xf>
    <xf borderId="67" fillId="7" fontId="1" numFmtId="0" xfId="0" applyAlignment="1" applyBorder="1" applyFill="1" applyFont="1">
      <alignment horizontal="center" readingOrder="0" vertical="center"/>
    </xf>
    <xf borderId="22" fillId="30" fontId="7" numFmtId="0" xfId="0" applyAlignment="1" applyBorder="1" applyFill="1" applyFont="1">
      <alignment horizontal="center" readingOrder="0" shrinkToFit="0" wrapText="0"/>
    </xf>
    <xf borderId="31" fillId="10" fontId="7" numFmtId="0" xfId="0" applyAlignment="1" applyBorder="1" applyFill="1" applyFont="1">
      <alignment horizontal="center" readingOrder="0" shrinkToFit="0" wrapText="0"/>
    </xf>
    <xf borderId="65" fillId="7" fontId="1" numFmtId="0" xfId="0" applyAlignment="1" applyBorder="1" applyFill="1" applyFont="1">
      <alignment horizontal="center" readingOrder="0" vertical="center"/>
    </xf>
    <xf borderId="68" fillId="10" fontId="2" numFmtId="0" xfId="0" applyAlignment="1" applyBorder="1" applyFill="1" applyFont="1">
      <alignment horizontal="center" readingOrder="0" shrinkToFit="0" wrapText="0"/>
    </xf>
    <xf borderId="66" fillId="16" fontId="1" numFmtId="0" xfId="0" applyAlignment="1" applyBorder="1" applyFill="1" applyFont="1">
      <alignment horizontal="center" readingOrder="0" vertical="center"/>
    </xf>
    <xf borderId="69" fillId="10" fontId="7" numFmtId="0" xfId="0" applyAlignment="1" applyBorder="1" applyFill="1" applyFont="1">
      <alignment horizontal="center" readingOrder="0" shrinkToFit="0" wrapText="0"/>
    </xf>
    <xf borderId="0" fillId="3" fontId="2" numFmtId="164" xfId="0" applyAlignment="1" applyFill="1" applyFont="1" applyNumberFormat="1">
      <alignment shrinkToFit="0" vertical="bottom" wrapText="0"/>
    </xf>
    <xf borderId="53" fillId="31" fontId="9" numFmtId="0" xfId="0" applyAlignment="1" applyBorder="1" applyFill="1" applyFont="1">
      <alignment horizontal="center" readingOrder="0" shrinkToFit="0" wrapText="0"/>
    </xf>
    <xf borderId="16" fillId="32" fontId="7" numFmtId="0" xfId="0" applyAlignment="1" applyBorder="1" applyFill="1" applyFont="1">
      <alignment horizontal="center" readingOrder="0" shrinkToFit="0" wrapText="0"/>
    </xf>
    <xf borderId="67" fillId="16" fontId="1" numFmtId="0" xfId="0" applyAlignment="1" applyBorder="1" applyFill="1" applyFont="1">
      <alignment horizontal="center" readingOrder="0" vertical="center"/>
    </xf>
    <xf borderId="38" fillId="22" fontId="7" numFmtId="0" xfId="0" applyAlignment="1" applyBorder="1" applyFill="1" applyFont="1">
      <alignment horizontal="center" readingOrder="0" shrinkToFit="0" wrapText="0"/>
    </xf>
    <xf borderId="22" fillId="33" fontId="7" numFmtId="0" xfId="0" applyAlignment="1" applyBorder="1" applyFill="1" applyFont="1">
      <alignment horizontal="center" readingOrder="0" shrinkToFit="0" wrapText="0"/>
    </xf>
    <xf borderId="49" fillId="34" fontId="7" numFmtId="0" xfId="0" applyAlignment="1" applyBorder="1" applyFill="1" applyFont="1">
      <alignment horizontal="center" readingOrder="0" shrinkToFit="0" wrapText="0"/>
    </xf>
    <xf borderId="16" fillId="33" fontId="7" numFmtId="0" xfId="0" applyAlignment="1" applyBorder="1" applyFill="1" applyFont="1">
      <alignment horizontal="center" readingOrder="0" shrinkToFit="0" wrapText="0"/>
    </xf>
    <xf borderId="60" fillId="5" fontId="7" numFmtId="0" xfId="0" applyAlignment="1" applyBorder="1" applyFill="1" applyFont="1">
      <alignment horizontal="center" readingOrder="0" shrinkToFit="0" wrapText="0"/>
    </xf>
    <xf borderId="22" fillId="35" fontId="7" numFmtId="0" xfId="0" applyAlignment="1" applyBorder="1" applyFill="1" applyFont="1">
      <alignment horizontal="center" readingOrder="0" shrinkToFit="0" wrapText="0"/>
    </xf>
    <xf borderId="34" fillId="23" fontId="7" numFmtId="0" xfId="0" applyAlignment="1" applyBorder="1" applyFill="1" applyFont="1">
      <alignment horizontal="center" readingOrder="0" shrinkToFit="0" wrapText="0"/>
    </xf>
    <xf borderId="36" fillId="23" fontId="7" numFmtId="0" xfId="0" applyAlignment="1" applyBorder="1" applyFill="1" applyFont="1">
      <alignment horizontal="center" readingOrder="0" shrinkToFit="0" wrapText="0"/>
    </xf>
    <xf borderId="16" fillId="26" fontId="7" numFmtId="0" xfId="0" applyAlignment="1" applyBorder="1" applyFill="1" applyFont="1">
      <alignment horizontal="center" readingOrder="0" shrinkToFit="0" wrapText="0"/>
    </xf>
    <xf borderId="37" fillId="23" fontId="2" numFmtId="0" xfId="0" applyAlignment="1" applyBorder="1" applyFill="1" applyFont="1">
      <alignment horizontal="center" readingOrder="0" shrinkToFit="0" wrapText="0"/>
    </xf>
    <xf borderId="22" fillId="36" fontId="7" numFmtId="0" xfId="0" applyAlignment="1" applyBorder="1" applyFill="1" applyFont="1">
      <alignment horizontal="center" readingOrder="0" shrinkToFit="0" wrapText="0"/>
    </xf>
    <xf borderId="61" fillId="5" fontId="7" numFmtId="0" xfId="0" applyAlignment="1" applyBorder="1" applyFill="1" applyFont="1">
      <alignment horizontal="center" readingOrder="0" shrinkToFit="0" wrapText="0"/>
    </xf>
    <xf borderId="16" fillId="21" fontId="7" numFmtId="0" xfId="0" applyAlignment="1" applyBorder="1" applyFill="1" applyFont="1">
      <alignment horizontal="center" readingOrder="0" shrinkToFit="0" wrapText="0"/>
    </xf>
    <xf borderId="22" fillId="13" fontId="7" numFmtId="0" xfId="0" applyAlignment="1" applyBorder="1" applyFill="1" applyFont="1">
      <alignment horizontal="center" readingOrder="0" shrinkToFit="0" wrapText="0"/>
    </xf>
    <xf borderId="16" fillId="22" fontId="7" numFmtId="0" xfId="0" applyAlignment="1" applyBorder="1" applyFill="1" applyFont="1">
      <alignment horizontal="center" readingOrder="0" shrinkToFit="0" wrapText="0"/>
    </xf>
    <xf borderId="70" fillId="7" fontId="1" numFmtId="0" xfId="0" applyAlignment="1" applyBorder="1" applyFill="1" applyFont="1">
      <alignment horizontal="center" readingOrder="0" vertical="center"/>
    </xf>
    <xf borderId="22" fillId="18" fontId="7" numFmtId="0" xfId="0" applyAlignment="1" applyBorder="1" applyFill="1" applyFont="1">
      <alignment horizontal="center" readingOrder="0" shrinkToFit="0" wrapText="0"/>
    </xf>
    <xf borderId="71" fillId="7" fontId="1" numFmtId="0" xfId="0" applyAlignment="1" applyBorder="1" applyFill="1" applyFont="1">
      <alignment horizontal="center" readingOrder="0" vertical="center"/>
    </xf>
    <xf borderId="71" fillId="14" fontId="1" numFmtId="0" xfId="0" applyAlignment="1" applyBorder="1" applyFill="1" applyFont="1">
      <alignment horizontal="center" readingOrder="0" vertical="center"/>
    </xf>
    <xf borderId="72" fillId="7" fontId="1" numFmtId="0" xfId="0" applyAlignment="1" applyBorder="1" applyFill="1" applyFont="1">
      <alignment horizontal="center" readingOrder="0" vertical="center"/>
    </xf>
    <xf borderId="73" fillId="7" fontId="1" numFmtId="0" xfId="0" applyAlignment="1" applyBorder="1" applyFill="1" applyFont="1">
      <alignment horizontal="center" readingOrder="0" vertical="center"/>
    </xf>
    <xf borderId="39" fillId="23" fontId="2" numFmtId="0" xfId="0" applyAlignment="1" applyBorder="1" applyFill="1" applyFont="1">
      <alignment horizontal="center" readingOrder="0" shrinkToFit="0" wrapText="0"/>
    </xf>
    <xf borderId="63" fillId="5" fontId="2" numFmtId="0" xfId="0" applyAlignment="1" applyBorder="1" applyFill="1" applyFont="1">
      <alignment horizontal="center" readingOrder="0" shrinkToFit="0" wrapText="0"/>
    </xf>
    <xf borderId="41" fillId="23" fontId="7" numFmtId="0" xfId="0" applyAlignment="1" applyBorder="1" applyFill="1" applyFont="1">
      <alignment horizontal="center" readingOrder="0" shrinkToFit="0" wrapText="0"/>
    </xf>
    <xf borderId="45" fillId="5" fontId="2" numFmtId="0" xfId="0" applyAlignment="1" applyBorder="1" applyFill="1" applyFont="1">
      <alignment horizontal="center" readingOrder="0" shrinkToFit="0" wrapText="0"/>
    </xf>
    <xf borderId="49" fillId="37" fontId="7" numFmtId="0" xfId="0" applyAlignment="1" applyBorder="1" applyFill="1" applyFont="1">
      <alignment horizontal="center" readingOrder="0" shrinkToFit="0" wrapText="0"/>
    </xf>
    <xf borderId="46" fillId="5" fontId="2" numFmtId="0" xfId="0" applyAlignment="1" applyBorder="1" applyFill="1" applyFont="1">
      <alignment horizontal="center" readingOrder="0" shrinkToFit="0" wrapText="0"/>
    </xf>
    <xf borderId="16" fillId="8" fontId="7" numFmtId="0" xfId="0" applyAlignment="1" applyBorder="1" applyFill="1" applyFont="1">
      <alignment horizontal="center" readingOrder="0" shrinkToFit="0" wrapText="0"/>
    </xf>
    <xf borderId="48" fillId="5" fontId="2" numFmtId="0" xfId="0" applyAlignment="1" applyBorder="1" applyFill="1" applyFont="1">
      <alignment horizontal="center" readingOrder="0" shrinkToFit="0" wrapText="0"/>
    </xf>
    <xf borderId="34" fillId="38" fontId="7" numFmtId="0" xfId="0" applyAlignment="1" applyBorder="1" applyFill="1" applyFont="1">
      <alignment horizontal="center" readingOrder="0" shrinkToFit="0" wrapText="0"/>
    </xf>
    <xf borderId="51" fillId="22" fontId="7" numFmtId="0" xfId="0" applyAlignment="1" applyBorder="1" applyFill="1" applyFont="1">
      <alignment horizontal="center" readingOrder="0" shrinkToFit="0" wrapText="0"/>
    </xf>
    <xf borderId="16" fillId="24" fontId="7" numFmtId="0" xfId="0" applyAlignment="1" applyBorder="1" applyFill="1" applyFont="1">
      <alignment horizontal="center" readingOrder="0" shrinkToFit="0" wrapText="0"/>
    </xf>
    <xf borderId="36" fillId="38" fontId="7" numFmtId="0" xfId="0" applyAlignment="1" applyBorder="1" applyFill="1" applyFont="1">
      <alignment horizontal="center" readingOrder="0" shrinkToFit="0" wrapText="0"/>
    </xf>
    <xf borderId="22" fillId="27" fontId="7" numFmtId="0" xfId="0" applyAlignment="1" applyBorder="1" applyFill="1" applyFont="1">
      <alignment horizontal="center" readingOrder="0" shrinkToFit="0" wrapText="0"/>
    </xf>
    <xf borderId="16" fillId="36" fontId="7" numFmtId="0" xfId="0" applyAlignment="1" applyBorder="1" applyFill="1" applyFont="1">
      <alignment horizontal="center" readingOrder="0" shrinkToFit="0" wrapText="0"/>
    </xf>
    <xf borderId="38" fillId="39" fontId="7" numFmtId="0" xfId="0" applyAlignment="1" applyBorder="1" applyFill="1" applyFont="1">
      <alignment horizontal="center" readingOrder="0" shrinkToFit="0" wrapText="0"/>
    </xf>
    <xf borderId="0" fillId="2" fontId="10" numFmtId="0" xfId="0" applyAlignment="1" applyFill="1" applyFont="1">
      <alignment vertical="bottom"/>
    </xf>
    <xf borderId="37" fillId="38" fontId="2" numFmtId="0" xfId="0" applyAlignment="1" applyBorder="1" applyFill="1" applyFont="1">
      <alignment horizontal="center" readingOrder="0" shrinkToFit="0" wrapText="0"/>
    </xf>
    <xf borderId="60" fillId="40" fontId="7" numFmtId="0" xfId="0" applyAlignment="1" applyBorder="1" applyFill="1" applyFont="1">
      <alignment horizontal="center" readingOrder="0" shrinkToFit="0" wrapText="0"/>
    </xf>
    <xf borderId="39" fillId="38" fontId="2" numFmtId="0" xfId="0" applyAlignment="1" applyBorder="1" applyFill="1" applyFont="1">
      <alignment horizontal="center" readingOrder="0" shrinkToFit="0" wrapText="0"/>
    </xf>
    <xf borderId="61" fillId="40" fontId="7" numFmtId="0" xfId="0" applyAlignment="1" applyBorder="1" applyFill="1" applyFont="1">
      <alignment horizontal="center" readingOrder="0" shrinkToFit="0" wrapText="0"/>
    </xf>
    <xf borderId="41" fillId="38" fontId="7" numFmtId="0" xfId="0" applyAlignment="1" applyBorder="1" applyFill="1" applyFont="1">
      <alignment horizontal="center" readingOrder="0" shrinkToFit="0" wrapText="0"/>
    </xf>
    <xf borderId="16" fillId="35" fontId="7" numFmtId="0" xfId="0" applyAlignment="1" applyBorder="1" applyFill="1" applyFont="1">
      <alignment horizontal="center" readingOrder="0" shrinkToFit="0" wrapText="0"/>
    </xf>
    <xf borderId="63" fillId="40" fontId="2" numFmtId="0" xfId="0" applyAlignment="1" applyBorder="1" applyFill="1" applyFont="1">
      <alignment horizontal="center" readingOrder="0" shrinkToFit="0" wrapText="0"/>
    </xf>
    <xf borderId="49" fillId="39" fontId="7" numFmtId="0" xfId="0" applyAlignment="1" applyBorder="1" applyFill="1" applyFont="1">
      <alignment horizontal="center" readingOrder="0" shrinkToFit="0" wrapText="0"/>
    </xf>
    <xf borderId="22" fillId="25" fontId="7" numFmtId="0" xfId="0" applyAlignment="1" applyBorder="1" applyFill="1" applyFont="1">
      <alignment horizontal="center" readingOrder="0" shrinkToFit="0" wrapText="0"/>
    </xf>
    <xf borderId="45" fillId="40" fontId="2" numFmtId="0" xfId="0" applyAlignment="1" applyBorder="1" applyFill="1" applyFont="1">
      <alignment horizontal="center" readingOrder="0" shrinkToFit="0" wrapText="0"/>
    </xf>
    <xf borderId="34" fillId="34" fontId="7" numFmtId="0" xfId="0" applyAlignment="1" applyBorder="1" applyFill="1" applyFont="1">
      <alignment horizontal="center" readingOrder="0" shrinkToFit="0" wrapText="0"/>
    </xf>
    <xf borderId="16" fillId="9" fontId="7" numFmtId="0" xfId="0" applyAlignment="1" applyBorder="1" applyFill="1" applyFont="1">
      <alignment horizontal="center" readingOrder="0" shrinkToFit="0" wrapText="0"/>
    </xf>
    <xf borderId="46" fillId="40" fontId="2" numFmtId="0" xfId="0" applyAlignment="1" applyBorder="1" applyFill="1" applyFont="1">
      <alignment horizontal="center" readingOrder="0" shrinkToFit="0" wrapText="0"/>
    </xf>
    <xf borderId="36" fillId="34" fontId="7" numFmtId="0" xfId="0" applyAlignment="1" applyBorder="1" applyFill="1" applyFont="1">
      <alignment horizontal="center" readingOrder="0" shrinkToFit="0" wrapText="0"/>
    </xf>
    <xf borderId="22" fillId="5" fontId="7" numFmtId="0" xfId="0" applyAlignment="1" applyBorder="1" applyFill="1" applyFont="1">
      <alignment horizontal="center" readingOrder="0" shrinkToFit="0" wrapText="0"/>
    </xf>
    <xf borderId="48" fillId="40" fontId="2" numFmtId="0" xfId="0" applyAlignment="1" applyBorder="1" applyFill="1" applyFont="1">
      <alignment horizontal="center" readingOrder="0" shrinkToFit="0" wrapText="0"/>
    </xf>
    <xf borderId="37" fillId="34" fontId="2" numFmtId="0" xfId="0" applyAlignment="1" applyBorder="1" applyFill="1" applyFont="1">
      <alignment horizontal="center" readingOrder="0" shrinkToFit="0" wrapText="0"/>
    </xf>
    <xf borderId="16" fillId="23" fontId="7" numFmtId="0" xfId="0" applyAlignment="1" applyBorder="1" applyFill="1" applyFont="1">
      <alignment horizontal="center" readingOrder="0" shrinkToFit="0" wrapText="0"/>
    </xf>
    <xf borderId="39" fillId="34" fontId="2" numFmtId="0" xfId="0" applyAlignment="1" applyBorder="1" applyFill="1" applyFont="1">
      <alignment horizontal="center" readingOrder="0" shrinkToFit="0" wrapText="0"/>
    </xf>
    <xf borderId="22" fillId="12" fontId="7" numFmtId="0" xfId="0" applyAlignment="1" applyBorder="1" applyFill="1" applyFont="1">
      <alignment horizontal="center" readingOrder="0" shrinkToFit="0" wrapText="0"/>
    </xf>
    <xf borderId="51" fillId="39" fontId="7" numFmtId="0" xfId="0" applyAlignment="1" applyBorder="1" applyFill="1" applyFont="1">
      <alignment horizontal="center" readingOrder="0" shrinkToFit="0" wrapText="0"/>
    </xf>
    <xf borderId="16" fillId="40" fontId="7" numFmtId="0" xfId="0" applyAlignment="1" applyBorder="1" applyFill="1" applyFont="1">
      <alignment horizontal="center" readingOrder="0" shrinkToFit="0" wrapText="0"/>
    </xf>
    <xf borderId="41" fillId="34" fontId="7" numFmtId="0" xfId="0" applyAlignment="1" applyBorder="1" applyFill="1" applyFont="1">
      <alignment horizontal="center" readingOrder="0" shrinkToFit="0" wrapText="0"/>
    </xf>
    <xf borderId="16" fillId="29" fontId="7" numFmtId="0" xfId="0" applyAlignment="1" applyBorder="1" applyFill="1" applyFont="1">
      <alignment horizontal="center" readingOrder="0" shrinkToFit="0" wrapText="0"/>
    </xf>
    <xf borderId="38" fillId="30" fontId="7" numFmtId="0" xfId="0" applyAlignment="1" applyBorder="1" applyFill="1" applyFont="1">
      <alignment horizontal="center" readingOrder="0" shrinkToFit="0" wrapText="0"/>
    </xf>
    <xf borderId="74" fillId="30" fontId="7" numFmtId="0" xfId="0" applyAlignment="1" applyBorder="1" applyFill="1" applyFont="1">
      <alignment horizontal="center" readingOrder="0" shrinkToFit="0" wrapText="0"/>
    </xf>
    <xf borderId="49" fillId="29" fontId="7" numFmtId="0" xfId="0" applyAlignment="1" applyBorder="1" applyFill="1" applyFont="1">
      <alignment horizontal="center" readingOrder="0" shrinkToFit="0" wrapText="0"/>
    </xf>
    <xf borderId="75" fillId="0" fontId="2" numFmtId="0" xfId="0" applyAlignment="1" applyBorder="1" applyFont="1">
      <alignment horizontal="center" readingOrder="0" shrinkToFit="0" wrapText="0"/>
    </xf>
    <xf borderId="76" fillId="0" fontId="2" numFmtId="0" xfId="0" applyAlignment="1" applyBorder="1" applyFont="1">
      <alignment horizontal="center" readingOrder="0" shrinkToFit="0" wrapText="0"/>
    </xf>
    <xf borderId="60" fillId="21" fontId="7" numFmtId="0" xfId="0" applyAlignment="1" applyBorder="1" applyFill="1" applyFont="1">
      <alignment horizontal="center" readingOrder="0" shrinkToFit="0" wrapText="0"/>
    </xf>
    <xf borderId="34" fillId="37" fontId="7" numFmtId="0" xfId="0" applyAlignment="1" applyBorder="1" applyFill="1" applyFont="1">
      <alignment horizontal="center" readingOrder="0" shrinkToFit="0" wrapText="0"/>
    </xf>
    <xf borderId="61" fillId="21" fontId="7" numFmtId="0" xfId="0" applyAlignment="1" applyBorder="1" applyFill="1" applyFont="1">
      <alignment horizontal="center" readingOrder="0" shrinkToFit="0" wrapText="0"/>
    </xf>
    <xf borderId="36" fillId="37" fontId="7" numFmtId="0" xfId="0" applyAlignment="1" applyBorder="1" applyFill="1" applyFont="1">
      <alignment horizontal="center" readingOrder="0" shrinkToFit="0" wrapText="0"/>
    </xf>
    <xf borderId="63" fillId="21" fontId="2" numFmtId="0" xfId="0" applyAlignment="1" applyBorder="1" applyFill="1" applyFont="1">
      <alignment horizontal="center" readingOrder="0" shrinkToFit="0" wrapText="0"/>
    </xf>
    <xf borderId="37" fillId="37" fontId="2" numFmtId="0" xfId="0" applyAlignment="1" applyBorder="1" applyFill="1" applyFont="1">
      <alignment horizontal="center" readingOrder="0" shrinkToFit="0" wrapText="0"/>
    </xf>
    <xf borderId="45" fillId="21" fontId="2" numFmtId="0" xfId="0" applyAlignment="1" applyBorder="1" applyFill="1" applyFont="1">
      <alignment horizontal="center" readingOrder="0" shrinkToFit="0" wrapText="0"/>
    </xf>
    <xf borderId="39" fillId="37" fontId="2" numFmtId="0" xfId="0" applyAlignment="1" applyBorder="1" applyFill="1" applyFont="1">
      <alignment horizontal="center" readingOrder="0" shrinkToFit="0" wrapText="0"/>
    </xf>
    <xf borderId="77" fillId="4" fontId="5" numFmtId="0" xfId="0" applyAlignment="1" applyBorder="1" applyFill="1" applyFont="1">
      <alignment horizontal="center" readingOrder="0" shrinkToFit="0" vertical="bottom" wrapText="0"/>
    </xf>
    <xf borderId="46" fillId="21" fontId="2" numFmtId="0" xfId="0" applyAlignment="1" applyBorder="1" applyFill="1" applyFont="1">
      <alignment horizontal="center" readingOrder="0" shrinkToFit="0" wrapText="0"/>
    </xf>
    <xf borderId="41" fillId="37" fontId="7" numFmtId="0" xfId="0" applyAlignment="1" applyBorder="1" applyFill="1" applyFont="1">
      <alignment horizontal="center" readingOrder="0" shrinkToFit="0" wrapText="0"/>
    </xf>
    <xf borderId="18" fillId="0" fontId="4" numFmtId="0" xfId="0" applyBorder="1" applyFont="1"/>
    <xf borderId="48" fillId="21" fontId="2" numFmtId="0" xfId="0" applyAlignment="1" applyBorder="1" applyFill="1" applyFont="1">
      <alignment horizontal="center" readingOrder="0" shrinkToFit="0" wrapText="0"/>
    </xf>
    <xf borderId="49" fillId="41" fontId="7" numFmtId="0" xfId="0" applyAlignment="1" applyBorder="1" applyFill="1" applyFont="1">
      <alignment horizontal="center" readingOrder="0" shrinkToFit="0" wrapText="0"/>
    </xf>
    <xf borderId="51" fillId="30" fontId="7" numFmtId="0" xfId="0" applyAlignment="1" applyBorder="1" applyFill="1" applyFont="1">
      <alignment horizontal="center" readingOrder="0" shrinkToFit="0" wrapText="0"/>
    </xf>
    <xf borderId="22" fillId="22" fontId="7" numFmtId="0" xfId="0" applyAlignment="1" applyBorder="1" applyFill="1" applyFont="1">
      <alignment horizontal="center" readingOrder="0" shrinkToFit="0" wrapText="0"/>
    </xf>
    <xf borderId="34" fillId="28" fontId="7" numFmtId="0" xfId="0" applyAlignment="1" applyBorder="1" applyFill="1" applyFont="1">
      <alignment horizontal="center" readingOrder="0" shrinkToFit="0" wrapText="0"/>
    </xf>
    <xf borderId="78" fillId="12" fontId="2" numFmtId="0" xfId="0" applyAlignment="1" applyBorder="1" applyFill="1" applyFont="1">
      <alignment horizontal="center" readingOrder="0" shrinkToFit="0" vertical="bottom" wrapText="0"/>
    </xf>
    <xf borderId="36" fillId="28" fontId="7" numFmtId="0" xfId="0" applyAlignment="1" applyBorder="1" applyFill="1" applyFont="1">
      <alignment horizontal="center" readingOrder="0" shrinkToFit="0" wrapText="0"/>
    </xf>
    <xf borderId="79" fillId="12" fontId="2" numFmtId="0" xfId="0" applyAlignment="1" applyBorder="1" applyFill="1" applyFont="1">
      <alignment horizontal="center" readingOrder="0" shrinkToFit="0" vertical="bottom" wrapText="0"/>
    </xf>
    <xf borderId="37" fillId="28" fontId="2" numFmtId="0" xfId="0" applyAlignment="1" applyBorder="1" applyFill="1" applyFont="1">
      <alignment horizontal="center" readingOrder="0" shrinkToFit="0" wrapText="0"/>
    </xf>
    <xf borderId="38" fillId="40" fontId="7" numFmtId="0" xfId="0" applyAlignment="1" applyBorder="1" applyFill="1" applyFont="1">
      <alignment horizontal="center" readingOrder="0" shrinkToFit="0" wrapText="0"/>
    </xf>
    <xf borderId="39" fillId="28" fontId="2" numFmtId="0" xfId="0" applyAlignment="1" applyBorder="1" applyFill="1" applyFont="1">
      <alignment horizontal="center" readingOrder="0" shrinkToFit="0" wrapText="0"/>
    </xf>
    <xf borderId="57" fillId="22" fontId="2" numFmtId="0" xfId="0" applyAlignment="1" applyBorder="1" applyFill="1" applyFont="1">
      <alignment horizontal="center" readingOrder="0" shrinkToFit="0" wrapText="0"/>
    </xf>
    <xf borderId="22" fillId="9" fontId="7" numFmtId="0" xfId="0" applyAlignment="1" applyBorder="1" applyFill="1" applyFont="1">
      <alignment horizontal="center" readingOrder="0" shrinkToFit="0" wrapText="0"/>
    </xf>
    <xf borderId="41" fillId="28" fontId="7" numFmtId="0" xfId="0" applyAlignment="1" applyBorder="1" applyFill="1" applyFont="1">
      <alignment horizontal="center" readingOrder="0" shrinkToFit="0" wrapText="0"/>
    </xf>
    <xf borderId="80" fillId="42" fontId="2" numFmtId="0" xfId="0" applyAlignment="1" applyBorder="1" applyFill="1" applyFont="1">
      <alignment readingOrder="0" shrinkToFit="0" vertical="bottom" wrapText="0"/>
    </xf>
    <xf borderId="60" fillId="13" fontId="7" numFmtId="0" xfId="0" applyAlignment="1" applyBorder="1" applyFill="1" applyFont="1">
      <alignment horizontal="center" readingOrder="0" shrinkToFit="0" wrapText="0"/>
    </xf>
    <xf borderId="57" fillId="42" fontId="2" numFmtId="0" xfId="0" applyAlignment="1" applyBorder="1" applyFill="1" applyFont="1">
      <alignment horizontal="center" readingOrder="0" shrinkToFit="0" vertical="bottom" wrapText="0"/>
    </xf>
    <xf borderId="49" fillId="20" fontId="7" numFmtId="0" xfId="0" applyAlignment="1" applyBorder="1" applyFill="1" applyFont="1">
      <alignment horizontal="center" readingOrder="0" shrinkToFit="0" wrapText="0"/>
    </xf>
    <xf borderId="61" fillId="13" fontId="7" numFmtId="0" xfId="0" applyAlignment="1" applyBorder="1" applyFill="1" applyFont="1">
      <alignment horizontal="center" readingOrder="0" shrinkToFit="0" wrapText="0"/>
    </xf>
    <xf borderId="57" fillId="42" fontId="2" numFmtId="0" xfId="0" applyAlignment="1" applyBorder="1" applyFill="1" applyFont="1">
      <alignment readingOrder="0" shrinkToFit="0" vertical="bottom" wrapText="0"/>
    </xf>
    <xf borderId="22" fillId="32" fontId="7" numFmtId="0" xfId="0" applyAlignment="1" applyBorder="1" applyFill="1" applyFont="1">
      <alignment horizontal="center" readingOrder="0" shrinkToFit="0" wrapText="0"/>
    </xf>
    <xf borderId="63" fillId="13" fontId="2" numFmtId="0" xfId="0" applyAlignment="1" applyBorder="1" applyFill="1" applyFont="1">
      <alignment horizontal="center" readingOrder="0" shrinkToFit="0" wrapText="0"/>
    </xf>
    <xf borderId="34" fillId="43" fontId="7" numFmtId="0" xfId="0" applyAlignment="1" applyBorder="1" applyFill="1" applyFont="1">
      <alignment horizontal="center" readingOrder="0" shrinkToFit="0" wrapText="0"/>
    </xf>
    <xf borderId="45" fillId="13" fontId="2" numFmtId="0" xfId="0" applyAlignment="1" applyBorder="1" applyFill="1" applyFont="1">
      <alignment horizontal="center" readingOrder="0" shrinkToFit="0" wrapText="0"/>
    </xf>
    <xf borderId="39" fillId="42" fontId="2" numFmtId="0" xfId="0" applyAlignment="1" applyBorder="1" applyFill="1" applyFont="1">
      <alignment horizontal="center" shrinkToFit="0" vertical="bottom" wrapText="0"/>
    </xf>
    <xf borderId="36" fillId="43" fontId="7" numFmtId="0" xfId="0" applyAlignment="1" applyBorder="1" applyFill="1" applyFont="1">
      <alignment horizontal="center" readingOrder="0" shrinkToFit="0" wrapText="0"/>
    </xf>
    <xf borderId="46" fillId="13" fontId="2" numFmtId="0" xfId="0" applyAlignment="1" applyBorder="1" applyFill="1" applyFont="1">
      <alignment horizontal="center" readingOrder="0" shrinkToFit="0" wrapText="0"/>
    </xf>
    <xf borderId="22" fillId="40" fontId="7" numFmtId="0" xfId="0" applyAlignment="1" applyBorder="1" applyFill="1" applyFont="1">
      <alignment horizontal="center" readingOrder="0" shrinkToFit="0" wrapText="0"/>
    </xf>
    <xf borderId="37" fillId="43" fontId="2" numFmtId="0" xfId="0" applyAlignment="1" applyBorder="1" applyFill="1" applyFont="1">
      <alignment horizontal="center" readingOrder="0" shrinkToFit="0" wrapText="0"/>
    </xf>
    <xf borderId="39" fillId="42" fontId="2" numFmtId="0" xfId="0" applyAlignment="1" applyBorder="1" applyFill="1" applyFont="1">
      <alignment readingOrder="0" shrinkToFit="0" vertical="bottom" wrapText="0"/>
    </xf>
    <xf borderId="48" fillId="13" fontId="2" numFmtId="0" xfId="0" applyAlignment="1" applyBorder="1" applyFill="1" applyFont="1">
      <alignment horizontal="center" readingOrder="0" shrinkToFit="0" wrapText="0"/>
    </xf>
    <xf borderId="39" fillId="43" fontId="2" numFmtId="0" xfId="0" applyAlignment="1" applyBorder="1" applyFill="1" applyFont="1">
      <alignment horizontal="center" readingOrder="0" shrinkToFit="0" wrapText="0"/>
    </xf>
    <xf borderId="51" fillId="40" fontId="7" numFmtId="0" xfId="0" applyAlignment="1" applyBorder="1" applyFill="1" applyFont="1">
      <alignment horizontal="center" readingOrder="0" shrinkToFit="0" wrapText="0"/>
    </xf>
    <xf borderId="41" fillId="43" fontId="7" numFmtId="0" xfId="0" applyAlignment="1" applyBorder="1" applyFill="1" applyFont="1">
      <alignment horizontal="center" readingOrder="0" shrinkToFit="0" wrapText="0"/>
    </xf>
    <xf borderId="39" fillId="42" fontId="2" numFmtId="0" xfId="0" applyAlignment="1" applyBorder="1" applyFill="1" applyFont="1">
      <alignment horizontal="center" readingOrder="0" shrinkToFit="0" vertical="bottom" wrapText="0"/>
    </xf>
    <xf borderId="49" fillId="35" fontId="7" numFmtId="0" xfId="0" applyAlignment="1" applyBorder="1" applyFill="1" applyFont="1">
      <alignment horizontal="center" readingOrder="0" shrinkToFit="0" wrapText="0"/>
    </xf>
    <xf borderId="22" fillId="23" fontId="7" numFmtId="0" xfId="0" applyAlignment="1" applyBorder="1" applyFill="1" applyFont="1">
      <alignment horizontal="center" readingOrder="0" shrinkToFit="0" wrapText="0"/>
    </xf>
    <xf borderId="34" fillId="29" fontId="7" numFmtId="0" xfId="0" applyAlignment="1" applyBorder="1" applyFill="1" applyFont="1">
      <alignment horizontal="center" readingOrder="0" shrinkToFit="0" wrapText="0"/>
    </xf>
    <xf borderId="81" fillId="0" fontId="2" numFmtId="0" xfId="0" applyAlignment="1" applyBorder="1" applyFont="1">
      <alignment horizontal="center" readingOrder="0" shrinkToFit="0" wrapText="0"/>
    </xf>
    <xf borderId="38" fillId="35" fontId="7" numFmtId="0" xfId="0" applyAlignment="1" applyBorder="1" applyFill="1" applyFont="1">
      <alignment horizontal="center" readingOrder="0" shrinkToFit="0" wrapText="0"/>
    </xf>
    <xf borderId="36" fillId="29" fontId="7" numFmtId="0" xfId="0" applyAlignment="1" applyBorder="1" applyFill="1" applyFont="1">
      <alignment horizontal="center" readingOrder="0" shrinkToFit="0" wrapText="0"/>
    </xf>
    <xf borderId="82" fillId="0" fontId="2" numFmtId="0" xfId="0" applyAlignment="1" applyBorder="1" applyFont="1">
      <alignment horizontal="center" readingOrder="0" shrinkToFit="0" wrapText="0"/>
    </xf>
    <xf borderId="37" fillId="29" fontId="2" numFmtId="0" xfId="0" applyAlignment="1" applyBorder="1" applyFill="1" applyFont="1">
      <alignment horizontal="center" readingOrder="0" shrinkToFit="0" wrapText="0"/>
    </xf>
    <xf borderId="83" fillId="0" fontId="2" numFmtId="0" xfId="0" applyAlignment="1" applyBorder="1" applyFont="1">
      <alignment horizontal="center" readingOrder="0" shrinkToFit="0" wrapText="0"/>
    </xf>
    <xf borderId="60" fillId="35" fontId="7" numFmtId="0" xfId="0" applyAlignment="1" applyBorder="1" applyFill="1" applyFont="1">
      <alignment horizontal="center" readingOrder="0" shrinkToFit="0" wrapText="0"/>
    </xf>
    <xf borderId="84" fillId="0" fontId="2" numFmtId="0" xfId="0" applyAlignment="1" applyBorder="1" applyFont="1">
      <alignment horizontal="center" readingOrder="0" shrinkToFit="0" wrapText="0"/>
    </xf>
    <xf borderId="61" fillId="35" fontId="7" numFmtId="0" xfId="0" applyAlignment="1" applyBorder="1" applyFill="1" applyFont="1">
      <alignment horizontal="center" readingOrder="0" shrinkToFit="0" wrapText="0"/>
    </xf>
    <xf borderId="63" fillId="35" fontId="2" numFmtId="0" xfId="0" applyAlignment="1" applyBorder="1" applyFill="1" applyFont="1">
      <alignment horizontal="center" readingOrder="0" shrinkToFit="0" wrapText="0"/>
    </xf>
    <xf borderId="45" fillId="35" fontId="2" numFmtId="0" xfId="0" applyAlignment="1" applyBorder="1" applyFill="1" applyFont="1">
      <alignment horizontal="center" readingOrder="0" shrinkToFit="0" wrapText="0"/>
    </xf>
    <xf borderId="85" fillId="0" fontId="7" numFmtId="0" xfId="0" applyAlignment="1" applyBorder="1" applyFont="1">
      <alignment horizontal="center" readingOrder="0" shrinkToFit="0" wrapText="0"/>
    </xf>
    <xf borderId="46" fillId="35" fontId="2" numFmtId="0" xfId="0" applyAlignment="1" applyBorder="1" applyFill="1" applyFont="1">
      <alignment horizontal="center" readingOrder="0" shrinkToFit="0" wrapText="0"/>
    </xf>
    <xf borderId="86" fillId="0" fontId="9" numFmtId="0" xfId="0" applyAlignment="1" applyBorder="1" applyFont="1">
      <alignment horizontal="center" readingOrder="0" shrinkToFit="0" wrapText="0"/>
    </xf>
    <xf borderId="39" fillId="29" fontId="2" numFmtId="0" xfId="0" applyAlignment="1" applyBorder="1" applyFill="1" applyFont="1">
      <alignment horizontal="center" readingOrder="0" shrinkToFit="0" wrapText="0"/>
    </xf>
    <xf borderId="48" fillId="35" fontId="2" numFmtId="0" xfId="0" applyAlignment="1" applyBorder="1" applyFill="1" applyFont="1">
      <alignment horizontal="center" readingOrder="0" shrinkToFit="0" wrapText="0"/>
    </xf>
    <xf borderId="41" fillId="29" fontId="7" numFmtId="0" xfId="0" applyAlignment="1" applyBorder="1" applyFill="1" applyFont="1">
      <alignment horizontal="center" readingOrder="0" shrinkToFit="0" wrapText="0"/>
    </xf>
    <xf borderId="78" fillId="42" fontId="2" numFmtId="0" xfId="0" applyAlignment="1" applyBorder="1" applyFill="1" applyFont="1">
      <alignment readingOrder="0" shrinkToFit="0" vertical="bottom" wrapText="0"/>
    </xf>
    <xf borderId="51" fillId="35" fontId="7" numFmtId="0" xfId="0" applyAlignment="1" applyBorder="1" applyFill="1" applyFont="1">
      <alignment horizontal="center" readingOrder="0" shrinkToFit="0" wrapText="0"/>
    </xf>
    <xf borderId="79" fillId="42" fontId="2" numFmtId="0" xfId="0" applyAlignment="1" applyBorder="1" applyFill="1" applyFont="1">
      <alignment horizontal="center" readingOrder="0" shrinkToFit="0" vertical="bottom" wrapText="0"/>
    </xf>
    <xf borderId="49" fillId="38" fontId="7" numFmtId="0" xfId="0" applyAlignment="1" applyBorder="1" applyFill="1" applyFont="1">
      <alignment horizontal="center" readingOrder="0" shrinkToFit="0" wrapText="0"/>
    </xf>
    <xf borderId="79" fillId="42" fontId="2" numFmtId="0" xfId="0" applyAlignment="1" applyBorder="1" applyFill="1" applyFont="1">
      <alignment readingOrder="0" shrinkToFit="0" vertical="bottom" wrapText="0"/>
    </xf>
    <xf borderId="38" fillId="18" fontId="7" numFmtId="0" xfId="0" applyAlignment="1" applyBorder="1" applyFill="1" applyFont="1">
      <alignment horizontal="center" readingOrder="0" shrinkToFit="0" wrapText="0"/>
    </xf>
    <xf borderId="6" fillId="12" fontId="2" numFmtId="0" xfId="0" applyAlignment="1" applyBorder="1" applyFill="1" applyFont="1">
      <alignment horizontal="center" readingOrder="0" shrinkToFit="0" vertical="bottom" wrapText="0"/>
    </xf>
    <xf borderId="34" fillId="21" fontId="7" numFmtId="0" xfId="0" applyAlignment="1" applyBorder="1" applyFill="1" applyFont="1">
      <alignment horizontal="center" readingOrder="0" shrinkToFit="0" wrapText="0"/>
    </xf>
    <xf borderId="87" fillId="42" fontId="2" numFmtId="0" xfId="0" applyAlignment="1" applyBorder="1" applyFill="1" applyFont="1">
      <alignment horizontal="center" shrinkToFit="0" wrapText="0"/>
    </xf>
    <xf borderId="36" fillId="21" fontId="7" numFmtId="0" xfId="0" applyAlignment="1" applyBorder="1" applyFill="1" applyFont="1">
      <alignment horizontal="center" readingOrder="0" shrinkToFit="0" wrapText="0"/>
    </xf>
    <xf borderId="37" fillId="21" fontId="2" numFmtId="0" xfId="0" applyAlignment="1" applyBorder="1" applyFill="1" applyFont="1">
      <alignment horizontal="center" readingOrder="0" shrinkToFit="0" wrapText="0"/>
    </xf>
    <xf borderId="39" fillId="21" fontId="2" numFmtId="0" xfId="0" applyAlignment="1" applyBorder="1" applyFill="1" applyFont="1">
      <alignment horizontal="center" readingOrder="0" shrinkToFit="0" wrapText="0"/>
    </xf>
    <xf borderId="41" fillId="21" fontId="7" numFmtId="0" xfId="0" applyAlignment="1" applyBorder="1" applyFill="1" applyFont="1">
      <alignment horizontal="center" readingOrder="0" shrinkToFit="0" wrapText="0"/>
    </xf>
    <xf borderId="60" fillId="29" fontId="7" numFmtId="0" xfId="0" applyAlignment="1" applyBorder="1" applyFill="1" applyFont="1">
      <alignment horizontal="center" readingOrder="0" shrinkToFit="0" wrapText="0"/>
    </xf>
    <xf borderId="49" fillId="15" fontId="7" numFmtId="0" xfId="0" applyAlignment="1" applyBorder="1" applyFill="1" applyFont="1">
      <alignment horizontal="center" readingOrder="0" shrinkToFit="0" wrapText="0"/>
    </xf>
    <xf borderId="87" fillId="42" fontId="2" numFmtId="0" xfId="0" applyAlignment="1" applyBorder="1" applyFill="1" applyFont="1">
      <alignment horizontal="center" readingOrder="0" shrinkToFit="0" wrapText="0"/>
    </xf>
    <xf borderId="61" fillId="29" fontId="7" numFmtId="0" xfId="0" applyAlignment="1" applyBorder="1" applyFill="1" applyFont="1">
      <alignment horizontal="center" readingOrder="0" shrinkToFit="0" wrapText="0"/>
    </xf>
    <xf borderId="34" fillId="35" fontId="7" numFmtId="0" xfId="0" applyAlignment="1" applyBorder="1" applyFill="1" applyFont="1">
      <alignment horizontal="center" readingOrder="0" shrinkToFit="0" wrapText="0"/>
    </xf>
    <xf borderId="63" fillId="29" fontId="2" numFmtId="0" xfId="0" applyAlignment="1" applyBorder="1" applyFill="1" applyFont="1">
      <alignment horizontal="center" readingOrder="0" shrinkToFit="0" wrapText="0"/>
    </xf>
    <xf borderId="36" fillId="35" fontId="7" numFmtId="0" xfId="0" applyAlignment="1" applyBorder="1" applyFill="1" applyFont="1">
      <alignment horizontal="center" readingOrder="0" shrinkToFit="0" wrapText="0"/>
    </xf>
    <xf borderId="45" fillId="29" fontId="2" numFmtId="0" xfId="0" applyAlignment="1" applyBorder="1" applyFill="1" applyFont="1">
      <alignment horizontal="center" readingOrder="0" shrinkToFit="0" wrapText="0"/>
    </xf>
    <xf borderId="37" fillId="35" fontId="2" numFmtId="0" xfId="0" applyAlignment="1" applyBorder="1" applyFill="1" applyFont="1">
      <alignment horizontal="center" readingOrder="0" shrinkToFit="0" wrapText="0"/>
    </xf>
    <xf borderId="46" fillId="29" fontId="2" numFmtId="0" xfId="0" applyAlignment="1" applyBorder="1" applyFill="1" applyFont="1">
      <alignment horizontal="center" readingOrder="0" shrinkToFit="0" wrapText="0"/>
    </xf>
    <xf borderId="39" fillId="35" fontId="2" numFmtId="0" xfId="0" applyAlignment="1" applyBorder="1" applyFill="1" applyFont="1">
      <alignment horizontal="center" readingOrder="0" shrinkToFit="0" wrapText="0"/>
    </xf>
    <xf borderId="48" fillId="29" fontId="2" numFmtId="0" xfId="0" applyAlignment="1" applyBorder="1" applyFill="1" applyFont="1">
      <alignment horizontal="center" readingOrder="0" shrinkToFit="0" wrapText="0"/>
    </xf>
    <xf borderId="41" fillId="35" fontId="7" numFmtId="0" xfId="0" applyAlignment="1" applyBorder="1" applyFill="1" applyFont="1">
      <alignment horizontal="center" readingOrder="0" shrinkToFit="0" wrapText="0"/>
    </xf>
    <xf borderId="51" fillId="18" fontId="7" numFmtId="0" xfId="0" applyAlignment="1" applyBorder="1" applyFill="1" applyFont="1">
      <alignment horizontal="center" readingOrder="0" shrinkToFit="0" wrapText="0"/>
    </xf>
    <xf borderId="49" fillId="21" fontId="7" numFmtId="0" xfId="0" applyAlignment="1" applyBorder="1" applyFill="1" applyFont="1">
      <alignment horizontal="center" readingOrder="0" shrinkToFit="0" wrapText="0"/>
    </xf>
    <xf borderId="38" fillId="9" fontId="7" numFmtId="0" xfId="0" applyAlignment="1" applyBorder="1" applyFill="1" applyFont="1">
      <alignment horizontal="center" readingOrder="0" shrinkToFit="0" wrapText="0"/>
    </xf>
    <xf borderId="34" fillId="41" fontId="7" numFmtId="0" xfId="0" applyAlignment="1" applyBorder="1" applyFill="1" applyFont="1">
      <alignment horizontal="center" readingOrder="0" shrinkToFit="0" wrapText="0"/>
    </xf>
    <xf borderId="36" fillId="41" fontId="7" numFmtId="0" xfId="0" applyAlignment="1" applyBorder="1" applyFill="1" applyFont="1">
      <alignment horizontal="center" readingOrder="0" shrinkToFit="0" wrapText="0"/>
    </xf>
    <xf borderId="60" fillId="27" fontId="7" numFmtId="0" xfId="0" applyAlignment="1" applyBorder="1" applyFill="1" applyFont="1">
      <alignment horizontal="center" readingOrder="0" shrinkToFit="0" wrapText="0"/>
    </xf>
    <xf borderId="37" fillId="41" fontId="2" numFmtId="0" xfId="0" applyAlignment="1" applyBorder="1" applyFill="1" applyFont="1">
      <alignment horizontal="center" readingOrder="0" shrinkToFit="0" wrapText="0"/>
    </xf>
    <xf borderId="61" fillId="27" fontId="7" numFmtId="0" xfId="0" applyAlignment="1" applyBorder="1" applyFill="1" applyFont="1">
      <alignment horizontal="center" readingOrder="0" shrinkToFit="0" wrapText="0"/>
    </xf>
    <xf borderId="39" fillId="41" fontId="2" numFmtId="0" xfId="0" applyAlignment="1" applyBorder="1" applyFill="1" applyFont="1">
      <alignment horizontal="center" readingOrder="0" shrinkToFit="0" wrapText="0"/>
    </xf>
    <xf borderId="63" fillId="27" fontId="2" numFmtId="0" xfId="0" applyAlignment="1" applyBorder="1" applyFill="1" applyFont="1">
      <alignment horizontal="center" readingOrder="0" shrinkToFit="0" wrapText="0"/>
    </xf>
    <xf borderId="41" fillId="41" fontId="7" numFmtId="0" xfId="0" applyAlignment="1" applyBorder="1" applyFill="1" applyFont="1">
      <alignment horizontal="center" readingOrder="0" shrinkToFit="0" wrapText="0"/>
    </xf>
    <xf borderId="45" fillId="27" fontId="2" numFmtId="0" xfId="0" applyAlignment="1" applyBorder="1" applyFill="1" applyFont="1">
      <alignment horizontal="center" readingOrder="0" shrinkToFit="0" wrapText="0"/>
    </xf>
    <xf borderId="49" fillId="11" fontId="7" numFmtId="0" xfId="0" applyAlignment="1" applyBorder="1" applyFill="1" applyFont="1">
      <alignment horizontal="center" readingOrder="0" shrinkToFit="0" wrapText="0"/>
    </xf>
    <xf borderId="46" fillId="27" fontId="2" numFmtId="0" xfId="0" applyAlignment="1" applyBorder="1" applyFill="1" applyFont="1">
      <alignment horizontal="center" readingOrder="0" shrinkToFit="0" wrapText="0"/>
    </xf>
    <xf borderId="48" fillId="27" fontId="2" numFmtId="0" xfId="0" applyAlignment="1" applyBorder="1" applyFill="1" applyFont="1">
      <alignment horizontal="center" readingOrder="0" shrinkToFit="0" wrapText="0"/>
    </xf>
    <xf borderId="34" fillId="17" fontId="7" numFmtId="0" xfId="0" applyAlignment="1" applyBorder="1" applyFill="1" applyFont="1">
      <alignment horizontal="center" readingOrder="0" shrinkToFit="0" wrapText="0"/>
    </xf>
    <xf borderId="51" fillId="9" fontId="7" numFmtId="0" xfId="0" applyAlignment="1" applyBorder="1" applyFill="1" applyFont="1">
      <alignment horizontal="center" readingOrder="0" shrinkToFit="0" wrapText="0"/>
    </xf>
    <xf borderId="36" fillId="17" fontId="7" numFmtId="0" xfId="0" applyAlignment="1" applyBorder="1" applyFill="1" applyFont="1">
      <alignment horizontal="center" readingOrder="0" shrinkToFit="0" wrapText="0"/>
    </xf>
    <xf borderId="37" fillId="17" fontId="2" numFmtId="0" xfId="0" applyAlignment="1" applyBorder="1" applyFill="1" applyFont="1">
      <alignment horizontal="center" readingOrder="0" shrinkToFit="0" wrapText="0"/>
    </xf>
    <xf borderId="38" fillId="25" fontId="7" numFmtId="0" xfId="0" applyAlignment="1" applyBorder="1" applyFill="1" applyFont="1">
      <alignment horizontal="center" readingOrder="0" shrinkToFit="0" wrapText="0"/>
    </xf>
    <xf borderId="39" fillId="17" fontId="2" numFmtId="0" xfId="0" applyAlignment="1" applyBorder="1" applyFill="1" applyFont="1">
      <alignment horizontal="center" readingOrder="0" shrinkToFit="0" wrapText="0"/>
    </xf>
    <xf borderId="41" fillId="17" fontId="7" numFmtId="0" xfId="0" applyAlignment="1" applyBorder="1" applyFill="1" applyFont="1">
      <alignment horizontal="center" readingOrder="0" shrinkToFit="0" wrapText="0"/>
    </xf>
    <xf borderId="60" fillId="10" fontId="7" numFmtId="0" xfId="0" applyAlignment="1" applyBorder="1" applyFill="1" applyFont="1">
      <alignment horizontal="center" readingOrder="0" shrinkToFit="0" wrapText="0"/>
    </xf>
    <xf borderId="49" fillId="43" fontId="7" numFmtId="0" xfId="0" applyAlignment="1" applyBorder="1" applyFill="1" applyFont="1">
      <alignment horizontal="center" readingOrder="0" shrinkToFit="0" wrapText="0"/>
    </xf>
    <xf borderId="61" fillId="10" fontId="7" numFmtId="0" xfId="0" applyAlignment="1" applyBorder="1" applyFill="1" applyFont="1">
      <alignment horizontal="center" readingOrder="0" shrinkToFit="0" wrapText="0"/>
    </xf>
    <xf borderId="34" fillId="44" fontId="7" numFmtId="0" xfId="0" applyAlignment="1" applyBorder="1" applyFill="1" applyFont="1">
      <alignment horizontal="center" readingOrder="0" shrinkToFit="0" wrapText="0"/>
    </xf>
    <xf borderId="63" fillId="10" fontId="2" numFmtId="0" xfId="0" applyAlignment="1" applyBorder="1" applyFill="1" applyFont="1">
      <alignment horizontal="center" readingOrder="0" shrinkToFit="0" wrapText="0"/>
    </xf>
    <xf borderId="45" fillId="10" fontId="2" numFmtId="0" xfId="0" applyAlignment="1" applyBorder="1" applyFill="1" applyFont="1">
      <alignment horizontal="center" readingOrder="0" shrinkToFit="0" wrapText="0"/>
    </xf>
    <xf borderId="6" fillId="42" fontId="2" numFmtId="0" xfId="0" applyAlignment="1" applyBorder="1" applyFill="1" applyFont="1">
      <alignment horizontal="center" readingOrder="0" shrinkToFit="0" wrapText="0"/>
    </xf>
    <xf borderId="46" fillId="10" fontId="2" numFmtId="0" xfId="0" applyAlignment="1" applyBorder="1" applyFill="1" applyFont="1">
      <alignment horizontal="center" readingOrder="0" shrinkToFit="0" wrapText="0"/>
    </xf>
    <xf borderId="36" fillId="44" fontId="7" numFmtId="0" xfId="0" applyAlignment="1" applyBorder="1" applyFill="1" applyFont="1">
      <alignment horizontal="center" readingOrder="0" shrinkToFit="0" wrapText="0"/>
    </xf>
    <xf borderId="48" fillId="10" fontId="2" numFmtId="0" xfId="0" applyAlignment="1" applyBorder="1" applyFill="1" applyFont="1">
      <alignment horizontal="center" readingOrder="0" shrinkToFit="0" wrapText="0"/>
    </xf>
    <xf borderId="37" fillId="44" fontId="2" numFmtId="0" xfId="0" applyAlignment="1" applyBorder="1" applyFill="1" applyFont="1">
      <alignment horizontal="center" readingOrder="0" shrinkToFit="0" wrapText="0"/>
    </xf>
    <xf borderId="51" fillId="25" fontId="7" numFmtId="0" xfId="0" applyAlignment="1" applyBorder="1" applyFill="1" applyFont="1">
      <alignment horizontal="center" readingOrder="0" shrinkToFit="0" wrapText="0"/>
    </xf>
    <xf borderId="39" fillId="44" fontId="2" numFmtId="0" xfId="0" applyAlignment="1" applyBorder="1" applyFill="1" applyFont="1">
      <alignment horizontal="center" readingOrder="0" shrinkToFit="0" wrapText="0"/>
    </xf>
    <xf borderId="38" fillId="5" fontId="7" numFmtId="0" xfId="0" applyAlignment="1" applyBorder="1" applyFill="1" applyFont="1">
      <alignment horizontal="center" readingOrder="0" shrinkToFit="0" wrapText="0"/>
    </xf>
    <xf borderId="41" fillId="44" fontId="7" numFmtId="0" xfId="0" applyAlignment="1" applyBorder="1" applyFill="1" applyFont="1">
      <alignment horizontal="center" readingOrder="0" shrinkToFit="0" wrapText="0"/>
    </xf>
    <xf borderId="49" fillId="44" fontId="7" numFmtId="0" xfId="0" applyAlignment="1" applyBorder="1" applyFill="1" applyFont="1">
      <alignment horizontal="center" readingOrder="0" shrinkToFit="0" wrapText="0"/>
    </xf>
    <xf borderId="60" fillId="25" fontId="7" numFmtId="0" xfId="0" applyAlignment="1" applyBorder="1" applyFill="1" applyFont="1">
      <alignment horizontal="center" readingOrder="0" shrinkToFit="0" wrapText="0"/>
    </xf>
    <xf borderId="61" fillId="25" fontId="7" numFmtId="0" xfId="0" applyAlignment="1" applyBorder="1" applyFill="1" applyFont="1">
      <alignment horizontal="center" readingOrder="0" shrinkToFit="0" wrapText="0"/>
    </xf>
    <xf borderId="88" fillId="19" fontId="7" numFmtId="0" xfId="0" applyAlignment="1" applyBorder="1" applyFill="1" applyFont="1">
      <alignment horizontal="center" readingOrder="0" shrinkToFit="0" wrapText="0"/>
    </xf>
    <xf borderId="63" fillId="25" fontId="2" numFmtId="0" xfId="0" applyAlignment="1" applyBorder="1" applyFill="1" applyFont="1">
      <alignment horizontal="center" readingOrder="0" shrinkToFit="0" wrapText="0"/>
    </xf>
    <xf borderId="6" fillId="19" fontId="7" numFmtId="0" xfId="0" applyAlignment="1" applyBorder="1" applyFill="1" applyFont="1">
      <alignment horizontal="center" readingOrder="0" shrinkToFit="0" wrapText="0"/>
    </xf>
    <xf borderId="45" fillId="25" fontId="2" numFmtId="0" xfId="0" applyAlignment="1" applyBorder="1" applyFill="1" applyFont="1">
      <alignment horizontal="center" readingOrder="0" shrinkToFit="0" wrapText="0"/>
    </xf>
    <xf borderId="79" fillId="19" fontId="2" numFmtId="0" xfId="0" applyAlignment="1" applyBorder="1" applyFill="1" applyFont="1">
      <alignment horizontal="center" readingOrder="0" shrinkToFit="0" wrapText="0"/>
    </xf>
    <xf borderId="46" fillId="25" fontId="2" numFmtId="0" xfId="0" applyAlignment="1" applyBorder="1" applyFill="1" applyFont="1">
      <alignment horizontal="center" readingOrder="0" shrinkToFit="0" wrapText="0"/>
    </xf>
    <xf borderId="48" fillId="25" fontId="2" numFmtId="0" xfId="0" applyAlignment="1" applyBorder="1" applyFill="1" applyFont="1">
      <alignment horizontal="center" readingOrder="0" shrinkToFit="0" wrapText="0"/>
    </xf>
    <xf borderId="89" fillId="7" fontId="2" numFmtId="0" xfId="0" applyAlignment="1" applyBorder="1" applyFill="1" applyFont="1">
      <alignment horizontal="center" readingOrder="0" shrinkToFit="0" wrapText="0"/>
    </xf>
    <xf borderId="51" fillId="5" fontId="7" numFmtId="0" xfId="0" applyAlignment="1" applyBorder="1" applyFill="1" applyFont="1">
      <alignment horizontal="center" readingOrder="0" shrinkToFit="0" wrapText="0"/>
    </xf>
    <xf borderId="6" fillId="7" fontId="2" numFmtId="0" xfId="0" applyAlignment="1" applyBorder="1" applyFill="1" applyFont="1">
      <alignment horizontal="center" readingOrder="0" shrinkToFit="0" wrapText="0"/>
    </xf>
    <xf borderId="34" fillId="39" fontId="7" numFmtId="0" xfId="0" applyAlignment="1" applyBorder="1" applyFill="1" applyFont="1">
      <alignment horizontal="center" readingOrder="0" shrinkToFit="0" wrapText="0"/>
    </xf>
    <xf borderId="38" fillId="27" fontId="7" numFmtId="0" xfId="0" applyAlignment="1" applyBorder="1" applyFill="1" applyFont="1">
      <alignment horizontal="center" readingOrder="0" shrinkToFit="0" wrapText="0"/>
    </xf>
    <xf borderId="36" fillId="39" fontId="7" numFmtId="0" xfId="0" applyAlignment="1" applyBorder="1" applyFill="1" applyFont="1">
      <alignment horizontal="center" readingOrder="0" shrinkToFit="0" wrapText="0"/>
    </xf>
    <xf borderId="37" fillId="39" fontId="2" numFmtId="0" xfId="0" applyAlignment="1" applyBorder="1" applyFill="1" applyFont="1">
      <alignment horizontal="center" readingOrder="0" shrinkToFit="0" wrapText="0"/>
    </xf>
    <xf borderId="60" fillId="6" fontId="7" numFmtId="0" xfId="0" applyAlignment="1" applyBorder="1" applyFill="1" applyFont="1">
      <alignment horizontal="center" readingOrder="0" shrinkToFit="0" wrapText="0"/>
    </xf>
    <xf borderId="39" fillId="39" fontId="2" numFmtId="0" xfId="0" applyAlignment="1" applyBorder="1" applyFill="1" applyFont="1">
      <alignment horizontal="center" readingOrder="0" shrinkToFit="0" wrapText="0"/>
    </xf>
    <xf borderId="61" fillId="6" fontId="7" numFmtId="0" xfId="0" applyAlignment="1" applyBorder="1" applyFill="1" applyFont="1">
      <alignment horizontal="center" readingOrder="0" shrinkToFit="0" wrapText="0"/>
    </xf>
    <xf borderId="41" fillId="39" fontId="7" numFmtId="0" xfId="0" applyAlignment="1" applyBorder="1" applyFill="1" applyFont="1">
      <alignment horizontal="center" readingOrder="0" shrinkToFit="0" wrapText="0"/>
    </xf>
    <xf borderId="63" fillId="6" fontId="2" numFmtId="0" xfId="0" applyAlignment="1" applyBorder="1" applyFill="1" applyFont="1">
      <alignment horizontal="center" readingOrder="0" shrinkToFit="0" wrapText="0"/>
    </xf>
    <xf borderId="0" fillId="3" fontId="11" numFmtId="0" xfId="0" applyAlignment="1" applyFill="1" applyFont="1">
      <alignment shrinkToFit="0" vertical="bottom" wrapText="0"/>
    </xf>
    <xf borderId="45" fillId="6" fontId="2" numFmtId="0" xfId="0" applyAlignment="1" applyBorder="1" applyFill="1" applyFont="1">
      <alignment horizontal="center" readingOrder="0" shrinkToFit="0" wrapText="0"/>
    </xf>
    <xf borderId="46" fillId="6" fontId="2" numFmtId="0" xfId="0" applyAlignment="1" applyBorder="1" applyFill="1" applyFont="1">
      <alignment horizontal="center" readingOrder="0" shrinkToFit="0" wrapText="0"/>
    </xf>
    <xf borderId="48" fillId="6" fontId="2" numFmtId="0" xfId="0" applyAlignment="1" applyBorder="1" applyFill="1" applyFont="1">
      <alignment horizontal="center" readingOrder="0" shrinkToFit="0" wrapText="0"/>
    </xf>
    <xf borderId="0" fillId="3" fontId="11" numFmtId="0" xfId="0" applyAlignment="1" applyFill="1" applyFont="1">
      <alignment shrinkToFit="0" vertical="bottom" wrapText="0"/>
    </xf>
    <xf borderId="0" fillId="3" fontId="11" numFmtId="0" xfId="0" applyAlignment="1" applyFill="1" applyFont="1">
      <alignment horizontal="center" shrinkToFit="0" vertical="bottom" wrapText="0"/>
    </xf>
    <xf borderId="51" fillId="27" fontId="7" numFmtId="0" xfId="0" applyAlignment="1" applyBorder="1" applyFill="1" applyFont="1">
      <alignment horizontal="center" readingOrder="0" shrinkToFit="0" wrapText="0"/>
    </xf>
    <xf borderId="38" fillId="29" fontId="7" numFmtId="0" xfId="0" applyAlignment="1" applyBorder="1" applyFill="1" applyFont="1">
      <alignment horizontal="center" readingOrder="0" shrinkToFit="0" wrapText="0"/>
    </xf>
    <xf borderId="60" fillId="11" fontId="7" numFmtId="0" xfId="0" applyAlignment="1" applyBorder="1" applyFill="1" applyFont="1">
      <alignment horizontal="center" readingOrder="0" shrinkToFit="0" wrapText="0"/>
    </xf>
    <xf borderId="4" fillId="4" fontId="5" numFmtId="0" xfId="0" applyAlignment="1" applyBorder="1" applyFill="1" applyFont="1">
      <alignment horizontal="center" readingOrder="0" shrinkToFit="0" vertical="bottom" wrapText="0"/>
    </xf>
    <xf borderId="61" fillId="11" fontId="7" numFmtId="0" xfId="0" applyAlignment="1" applyBorder="1" applyFill="1" applyFont="1">
      <alignment horizontal="center" readingOrder="0" shrinkToFit="0" wrapText="0"/>
    </xf>
    <xf borderId="63" fillId="11" fontId="2" numFmtId="0" xfId="0" applyAlignment="1" applyBorder="1" applyFill="1" applyFont="1">
      <alignment horizontal="center" readingOrder="0" shrinkToFit="0" wrapText="0"/>
    </xf>
    <xf borderId="0" fillId="45" fontId="5" numFmtId="0" xfId="0" applyAlignment="1" applyFill="1" applyFont="1">
      <alignment horizontal="center" readingOrder="0" shrinkToFit="0" wrapText="0"/>
    </xf>
    <xf borderId="45" fillId="11" fontId="2" numFmtId="0" xfId="0" applyAlignment="1" applyBorder="1" applyFill="1" applyFont="1">
      <alignment horizontal="center" readingOrder="0" shrinkToFit="0" wrapText="0"/>
    </xf>
    <xf borderId="46" fillId="11" fontId="2" numFmtId="0" xfId="0" applyAlignment="1" applyBorder="1" applyFill="1" applyFont="1">
      <alignment horizontal="center" readingOrder="0" shrinkToFit="0" wrapText="0"/>
    </xf>
    <xf borderId="0" fillId="45" fontId="5" numFmtId="0" xfId="0" applyAlignment="1" applyFill="1" applyFont="1">
      <alignment horizontal="center" shrinkToFit="0" wrapText="0"/>
    </xf>
    <xf borderId="48" fillId="11" fontId="2" numFmtId="0" xfId="0" applyAlignment="1" applyBorder="1" applyFill="1" applyFont="1">
      <alignment horizontal="center" readingOrder="0" shrinkToFit="0" wrapText="0"/>
    </xf>
    <xf borderId="51" fillId="29" fontId="7" numFmtId="0" xfId="0" applyAlignment="1" applyBorder="1" applyFill="1" applyFont="1">
      <alignment horizontal="center" readingOrder="0" shrinkToFit="0" wrapText="0"/>
    </xf>
    <xf borderId="38" fillId="33" fontId="7" numFmtId="0" xfId="0" applyAlignment="1" applyBorder="1" applyFill="1" applyFont="1">
      <alignment horizontal="center" readingOrder="0" shrinkToFit="0" wrapText="0"/>
    </xf>
    <xf borderId="0" fillId="45" fontId="2" numFmtId="0" xfId="0" applyAlignment="1" applyFill="1" applyFont="1">
      <alignment horizontal="center" readingOrder="0" shrinkToFit="0" wrapText="0"/>
    </xf>
    <xf borderId="60" fillId="12" fontId="7" numFmtId="0" xfId="0" applyAlignment="1" applyBorder="1" applyFill="1" applyFont="1">
      <alignment horizontal="center" readingOrder="0" shrinkToFit="0" wrapText="0"/>
    </xf>
    <xf borderId="0" fillId="45" fontId="7" numFmtId="0" xfId="0" applyAlignment="1" applyFill="1" applyFont="1">
      <alignment horizontal="center" readingOrder="0" shrinkToFit="0" wrapText="0"/>
    </xf>
    <xf borderId="61" fillId="12" fontId="7" numFmtId="0" xfId="0" applyAlignment="1" applyBorder="1" applyFill="1" applyFont="1">
      <alignment horizontal="center" readingOrder="0" shrinkToFit="0" wrapText="0"/>
    </xf>
    <xf borderId="63" fillId="12" fontId="2" numFmtId="0" xfId="0" applyAlignment="1" applyBorder="1" applyFill="1" applyFont="1">
      <alignment horizontal="center" readingOrder="0" shrinkToFit="0" wrapText="0"/>
    </xf>
    <xf borderId="57" fillId="42" fontId="2" numFmtId="0" xfId="0" applyAlignment="1" applyBorder="1" applyFill="1" applyFont="1">
      <alignment horizontal="center" shrinkToFit="0" vertical="bottom" wrapText="0"/>
    </xf>
    <xf borderId="45" fillId="12" fontId="2" numFmtId="0" xfId="0" applyAlignment="1" applyBorder="1" applyFill="1" applyFont="1">
      <alignment horizontal="center" readingOrder="0" shrinkToFit="0" wrapText="0"/>
    </xf>
    <xf borderId="46" fillId="12" fontId="2" numFmtId="0" xfId="0" applyAlignment="1" applyBorder="1" applyFill="1" applyFont="1">
      <alignment horizontal="center" readingOrder="0" shrinkToFit="0" wrapText="0"/>
    </xf>
    <xf borderId="48" fillId="12" fontId="2" numFmtId="0" xfId="0" applyAlignment="1" applyBorder="1" applyFill="1" applyFont="1">
      <alignment horizontal="center" readingOrder="0" shrinkToFit="0" wrapText="0"/>
    </xf>
    <xf borderId="51" fillId="33" fontId="7" numFmtId="0" xfId="0" applyAlignment="1" applyBorder="1" applyFill="1" applyFont="1">
      <alignment horizontal="center" readingOrder="0" shrinkToFit="0" wrapText="0"/>
    </xf>
    <xf borderId="38" fillId="21" fontId="7" numFmtId="0" xfId="0" applyAlignment="1" applyBorder="1" applyFill="1" applyFont="1">
      <alignment horizontal="center" readingOrder="0" shrinkToFit="0" wrapText="0"/>
    </xf>
    <xf borderId="60" fillId="19" fontId="7" numFmtId="0" xfId="0" applyAlignment="1" applyBorder="1" applyFill="1" applyFont="1">
      <alignment horizontal="center" readingOrder="0" shrinkToFit="0" wrapText="0"/>
    </xf>
    <xf borderId="61" fillId="19" fontId="7" numFmtId="0" xfId="0" applyAlignment="1" applyBorder="1" applyFill="1" applyFont="1">
      <alignment horizontal="center" readingOrder="0" shrinkToFit="0" wrapText="0"/>
    </xf>
    <xf borderId="63" fillId="19" fontId="2" numFmtId="0" xfId="0" applyAlignment="1" applyBorder="1" applyFill="1" applyFont="1">
      <alignment horizontal="center" readingOrder="0" shrinkToFit="0" wrapText="0"/>
    </xf>
    <xf borderId="45" fillId="19" fontId="2" numFmtId="0" xfId="0" applyAlignment="1" applyBorder="1" applyFill="1" applyFont="1">
      <alignment horizontal="center" readingOrder="0" shrinkToFit="0" wrapText="0"/>
    </xf>
    <xf borderId="46" fillId="19" fontId="2" numFmtId="0" xfId="0" applyAlignment="1" applyBorder="1" applyFill="1" applyFont="1">
      <alignment horizontal="center" readingOrder="0" shrinkToFit="0" wrapText="0"/>
    </xf>
    <xf borderId="6" fillId="42" fontId="2" numFmtId="0" xfId="0" applyAlignment="1" applyBorder="1" applyFill="1" applyFont="1">
      <alignment horizontal="center" shrinkToFit="0" wrapText="0"/>
    </xf>
    <xf borderId="48" fillId="19" fontId="2" numFmtId="0" xfId="0" applyAlignment="1" applyBorder="1" applyFill="1" applyFont="1">
      <alignment horizontal="center" readingOrder="0" shrinkToFit="0" wrapText="0"/>
    </xf>
    <xf borderId="51" fillId="21" fontId="7" numFmtId="0" xfId="0" applyAlignment="1" applyBorder="1" applyFill="1" applyFont="1">
      <alignment horizontal="center" readingOrder="0" shrinkToFit="0" wrapText="0"/>
    </xf>
    <xf borderId="38" fillId="23" fontId="7" numFmtId="0" xfId="0" applyAlignment="1" applyBorder="1" applyFill="1" applyFont="1">
      <alignment horizontal="center" readingOrder="0" shrinkToFit="0" wrapText="0"/>
    </xf>
    <xf borderId="60" fillId="22" fontId="7" numFmtId="0" xfId="0" applyAlignment="1" applyBorder="1" applyFill="1" applyFont="1">
      <alignment horizontal="center" readingOrder="0" shrinkToFit="0" wrapText="0"/>
    </xf>
    <xf borderId="61" fillId="22" fontId="7" numFmtId="0" xfId="0" applyAlignment="1" applyBorder="1" applyFill="1" applyFont="1">
      <alignment horizontal="center" readingOrder="0" shrinkToFit="0" wrapText="0"/>
    </xf>
    <xf borderId="63" fillId="22" fontId="2" numFmtId="0" xfId="0" applyAlignment="1" applyBorder="1" applyFill="1" applyFont="1">
      <alignment horizontal="center" readingOrder="0" shrinkToFit="0" wrapText="0"/>
    </xf>
    <xf borderId="45" fillId="22" fontId="2" numFmtId="0" xfId="0" applyAlignment="1" applyBorder="1" applyFill="1" applyFont="1">
      <alignment horizontal="center" readingOrder="0" shrinkToFit="0" wrapText="0"/>
    </xf>
    <xf borderId="46" fillId="22" fontId="2" numFmtId="0" xfId="0" applyAlignment="1" applyBorder="1" applyFill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48" fillId="22" fontId="2" numFmtId="0" xfId="0" applyAlignment="1" applyBorder="1" applyFill="1" applyFont="1">
      <alignment horizontal="center" readingOrder="0" shrinkToFit="0" wrapText="0"/>
    </xf>
    <xf borderId="51" fillId="23" fontId="7" numFmtId="0" xfId="0" applyAlignment="1" applyBorder="1" applyFill="1" applyFont="1">
      <alignment horizontal="center" readingOrder="0" shrinkToFit="0" wrapText="0"/>
    </xf>
    <xf borderId="38" fillId="46" fontId="7" numFmtId="0" xfId="0" applyAlignment="1" applyBorder="1" applyFill="1" applyFont="1">
      <alignment horizontal="center" readingOrder="0" shrinkToFit="0" wrapText="0"/>
    </xf>
    <xf borderId="60" fillId="30" fontId="7" numFmtId="0" xfId="0" applyAlignment="1" applyBorder="1" applyFill="1" applyFont="1">
      <alignment horizontal="center" readingOrder="0" shrinkToFit="0" wrapText="0"/>
    </xf>
    <xf borderId="61" fillId="30" fontId="7" numFmtId="0" xfId="0" applyAlignment="1" applyBorder="1" applyFill="1" applyFont="1">
      <alignment horizontal="center" readingOrder="0" shrinkToFit="0" wrapText="0"/>
    </xf>
    <xf borderId="63" fillId="30" fontId="2" numFmtId="0" xfId="0" applyAlignment="1" applyBorder="1" applyFill="1" applyFont="1">
      <alignment horizontal="center" readingOrder="0" shrinkToFit="0" wrapText="0"/>
    </xf>
    <xf borderId="45" fillId="30" fontId="2" numFmtId="0" xfId="0" applyAlignment="1" applyBorder="1" applyFill="1" applyFont="1">
      <alignment horizontal="center" readingOrder="0" shrinkToFit="0" wrapText="0"/>
    </xf>
    <xf borderId="46" fillId="30" fontId="2" numFmtId="0" xfId="0" applyAlignment="1" applyBorder="1" applyFill="1" applyFont="1">
      <alignment horizontal="center" readingOrder="0" shrinkToFit="0" wrapText="0"/>
    </xf>
    <xf borderId="48" fillId="30" fontId="2" numFmtId="0" xfId="0" applyAlignment="1" applyBorder="1" applyFill="1" applyFont="1">
      <alignment horizontal="center" readingOrder="0" shrinkToFit="0" wrapText="0"/>
    </xf>
    <xf borderId="51" fillId="46" fontId="7" numFmtId="0" xfId="0" applyAlignment="1" applyBorder="1" applyFill="1" applyFont="1">
      <alignment horizontal="center" readingOrder="0" shrinkToFit="0" wrapText="0"/>
    </xf>
    <xf borderId="38" fillId="11" fontId="7" numFmtId="0" xfId="0" applyAlignment="1" applyBorder="1" applyFill="1" applyFont="1">
      <alignment horizontal="center" readingOrder="0" shrinkToFit="0" wrapText="0"/>
    </xf>
    <xf borderId="60" fillId="46" fontId="7" numFmtId="0" xfId="0" applyAlignment="1" applyBorder="1" applyFill="1" applyFont="1">
      <alignment horizontal="center" readingOrder="0" shrinkToFit="0" wrapText="0"/>
    </xf>
    <xf borderId="61" fillId="46" fontId="7" numFmtId="0" xfId="0" applyAlignment="1" applyBorder="1" applyFill="1" applyFont="1">
      <alignment horizontal="center" readingOrder="0" shrinkToFit="0" wrapText="0"/>
    </xf>
    <xf borderId="63" fillId="46" fontId="2" numFmtId="0" xfId="0" applyAlignment="1" applyBorder="1" applyFill="1" applyFont="1">
      <alignment horizontal="center" readingOrder="0" shrinkToFit="0" wrapText="0"/>
    </xf>
    <xf borderId="45" fillId="46" fontId="2" numFmtId="0" xfId="0" applyAlignment="1" applyBorder="1" applyFill="1" applyFont="1">
      <alignment horizontal="center" readingOrder="0" shrinkToFit="0" wrapText="0"/>
    </xf>
    <xf borderId="46" fillId="46" fontId="2" numFmtId="0" xfId="0" applyAlignment="1" applyBorder="1" applyFill="1" applyFont="1">
      <alignment horizontal="center" readingOrder="0" shrinkToFit="0" wrapText="0"/>
    </xf>
    <xf borderId="48" fillId="46" fontId="2" numFmtId="0" xfId="0" applyAlignment="1" applyBorder="1" applyFill="1" applyFont="1">
      <alignment horizontal="center" readingOrder="0" shrinkToFit="0" wrapText="0"/>
    </xf>
    <xf borderId="51" fillId="11" fontId="7" numFmtId="0" xfId="0" applyAlignment="1" applyBorder="1" applyFill="1" applyFont="1">
      <alignment horizontal="center" readingOrder="0" shrinkToFit="0" wrapText="0"/>
    </xf>
    <xf borderId="38" fillId="15" fontId="7" numFmtId="0" xfId="0" applyAlignment="1" applyBorder="1" applyFill="1" applyFont="1">
      <alignment horizontal="center" readingOrder="0" shrinkToFit="0" wrapText="0"/>
    </xf>
    <xf borderId="60" fillId="33" fontId="7" numFmtId="0" xfId="0" applyAlignment="1" applyBorder="1" applyFill="1" applyFont="1">
      <alignment horizontal="center" readingOrder="0" shrinkToFit="0" wrapText="0"/>
    </xf>
    <xf borderId="61" fillId="33" fontId="7" numFmtId="0" xfId="0" applyAlignment="1" applyBorder="1" applyFill="1" applyFont="1">
      <alignment horizontal="center" readingOrder="0" shrinkToFit="0" wrapText="0"/>
    </xf>
    <xf borderId="63" fillId="33" fontId="2" numFmtId="0" xfId="0" applyAlignment="1" applyBorder="1" applyFill="1" applyFont="1">
      <alignment horizontal="center" readingOrder="0" shrinkToFit="0" wrapText="0"/>
    </xf>
    <xf borderId="45" fillId="33" fontId="2" numFmtId="0" xfId="0" applyAlignment="1" applyBorder="1" applyFill="1" applyFont="1">
      <alignment horizontal="center" readingOrder="0" shrinkToFit="0" wrapText="0"/>
    </xf>
    <xf borderId="46" fillId="33" fontId="2" numFmtId="0" xfId="0" applyAlignment="1" applyBorder="1" applyFill="1" applyFont="1">
      <alignment horizontal="center" readingOrder="0" shrinkToFit="0" wrapText="0"/>
    </xf>
    <xf borderId="48" fillId="33" fontId="2" numFmtId="0" xfId="0" applyAlignment="1" applyBorder="1" applyFill="1" applyFont="1">
      <alignment horizontal="center" readingOrder="0" shrinkToFit="0" wrapText="0"/>
    </xf>
    <xf borderId="51" fillId="15" fontId="7" numFmtId="0" xfId="0" applyAlignment="1" applyBorder="1" applyFill="1" applyFont="1">
      <alignment horizontal="center" readingOrder="0" shrinkToFit="0" wrapText="0"/>
    </xf>
    <xf borderId="38" fillId="19" fontId="7" numFmtId="0" xfId="0" applyAlignment="1" applyBorder="1" applyFill="1" applyFont="1">
      <alignment horizontal="center" readingOrder="0" shrinkToFit="0" wrapText="0"/>
    </xf>
    <xf borderId="60" fillId="15" fontId="7" numFmtId="0" xfId="0" applyAlignment="1" applyBorder="1" applyFill="1" applyFont="1">
      <alignment horizontal="center" readingOrder="0" shrinkToFit="0" wrapText="0"/>
    </xf>
    <xf borderId="61" fillId="15" fontId="7" numFmtId="0" xfId="0" applyAlignment="1" applyBorder="1" applyFill="1" applyFont="1">
      <alignment horizontal="center" readingOrder="0" shrinkToFit="0" wrapText="0"/>
    </xf>
    <xf borderId="63" fillId="15" fontId="2" numFmtId="0" xfId="0" applyAlignment="1" applyBorder="1" applyFill="1" applyFont="1">
      <alignment horizontal="center" readingOrder="0" shrinkToFit="0" wrapText="0"/>
    </xf>
    <xf borderId="45" fillId="15" fontId="2" numFmtId="0" xfId="0" applyAlignment="1" applyBorder="1" applyFill="1" applyFont="1">
      <alignment horizontal="center" readingOrder="0" shrinkToFit="0" wrapText="0"/>
    </xf>
    <xf borderId="46" fillId="15" fontId="2" numFmtId="0" xfId="0" applyAlignment="1" applyBorder="1" applyFill="1" applyFont="1">
      <alignment horizontal="center" readingOrder="0" shrinkToFit="0" wrapText="0"/>
    </xf>
    <xf borderId="48" fillId="15" fontId="2" numFmtId="0" xfId="0" applyAlignment="1" applyBorder="1" applyFill="1" applyFont="1">
      <alignment horizontal="center" readingOrder="0" shrinkToFit="0" wrapText="0"/>
    </xf>
    <xf borderId="51" fillId="19" fontId="7" numFmtId="0" xfId="0" applyAlignment="1" applyBorder="1" applyFill="1" applyFont="1">
      <alignment horizontal="center" readingOrder="0" shrinkToFit="0" wrapText="0"/>
    </xf>
    <xf borderId="38" fillId="10" fontId="7" numFmtId="0" xfId="0" applyAlignment="1" applyBorder="1" applyFill="1" applyFont="1">
      <alignment horizontal="center" readingOrder="0" shrinkToFit="0" wrapText="0"/>
    </xf>
    <xf borderId="60" fillId="39" fontId="7" numFmtId="0" xfId="0" applyAlignment="1" applyBorder="1" applyFill="1" applyFont="1">
      <alignment horizontal="center" readingOrder="0" shrinkToFit="0" wrapText="0"/>
    </xf>
    <xf borderId="61" fillId="39" fontId="7" numFmtId="0" xfId="0" applyAlignment="1" applyBorder="1" applyFill="1" applyFont="1">
      <alignment horizontal="center" readingOrder="0" shrinkToFit="0" wrapText="0"/>
    </xf>
    <xf borderId="63" fillId="39" fontId="2" numFmtId="0" xfId="0" applyAlignment="1" applyBorder="1" applyFill="1" applyFont="1">
      <alignment horizontal="center" readingOrder="0" shrinkToFit="0" wrapText="0"/>
    </xf>
    <xf borderId="45" fillId="39" fontId="2" numFmtId="0" xfId="0" applyAlignment="1" applyBorder="1" applyFill="1" applyFont="1">
      <alignment horizontal="center" readingOrder="0" shrinkToFit="0" wrapText="0"/>
    </xf>
    <xf borderId="46" fillId="39" fontId="2" numFmtId="0" xfId="0" applyAlignment="1" applyBorder="1" applyFill="1" applyFont="1">
      <alignment horizontal="center" readingOrder="0" shrinkToFit="0" wrapText="0"/>
    </xf>
    <xf borderId="48" fillId="39" fontId="2" numFmtId="0" xfId="0" applyAlignment="1" applyBorder="1" applyFill="1" applyFont="1">
      <alignment horizontal="center" readingOrder="0" shrinkToFit="0" wrapText="0"/>
    </xf>
    <xf borderId="51" fillId="10" fontId="7" numFmtId="0" xfId="0" applyAlignment="1" applyBorder="1" applyFill="1" applyFont="1">
      <alignment horizontal="center" readingOrder="0" shrinkToFit="0" wrapText="0"/>
    </xf>
    <xf borderId="90" fillId="12" fontId="7" numFmtId="0" xfId="0" applyAlignment="1" applyBorder="1" applyFill="1" applyFont="1">
      <alignment horizontal="center" readingOrder="0" shrinkToFit="0" wrapText="0"/>
    </xf>
    <xf borderId="91" fillId="7" fontId="2" numFmtId="0" xfId="0" applyAlignment="1" applyBorder="1" applyFill="1" applyFont="1">
      <alignment horizontal="center" readingOrder="0" shrinkToFit="0" wrapText="0"/>
    </xf>
    <xf borderId="76" fillId="7" fontId="2" numFmtId="0" xfId="0" applyAlignment="1" applyBorder="1" applyFill="1" applyFont="1">
      <alignment horizontal="center" readingOrder="0" shrinkToFit="0" wrapText="0"/>
    </xf>
    <xf borderId="92" fillId="18" fontId="7" numFmtId="0" xfId="0" applyAlignment="1" applyBorder="1" applyFill="1" applyFont="1">
      <alignment horizontal="center" readingOrder="0" shrinkToFit="0" wrapText="0"/>
    </xf>
    <xf borderId="93" fillId="18" fontId="7" numFmtId="0" xfId="0" applyAlignment="1" applyBorder="1" applyFill="1" applyFont="1">
      <alignment horizontal="center" readingOrder="0" shrinkToFit="0" wrapText="0"/>
    </xf>
    <xf borderId="94" fillId="18" fontId="2" numFmtId="0" xfId="0" applyAlignment="1" applyBorder="1" applyFill="1" applyFont="1">
      <alignment horizontal="center" readingOrder="0" shrinkToFit="0" wrapText="0"/>
    </xf>
    <xf borderId="82" fillId="18" fontId="2" numFmtId="0" xfId="0" applyAlignment="1" applyBorder="1" applyFill="1" applyFont="1">
      <alignment horizontal="center" readingOrder="0" shrinkToFit="0" wrapText="0"/>
    </xf>
    <xf borderId="83" fillId="18" fontId="2" numFmtId="0" xfId="0" applyAlignment="1" applyBorder="1" applyFill="1" applyFont="1">
      <alignment horizontal="center" readingOrder="0" shrinkToFit="0" wrapText="0"/>
    </xf>
    <xf borderId="84" fillId="18" fontId="2" numFmtId="0" xfId="0" applyAlignment="1" applyBorder="1" applyFill="1" applyFont="1">
      <alignment horizontal="center" readingOrder="0" shrinkToFit="0" wrapText="0"/>
    </xf>
    <xf borderId="85" fillId="12" fontId="7" numFmtId="0" xfId="0" applyAlignment="1" applyBorder="1" applyFill="1" applyFont="1">
      <alignment horizontal="center" readingOrder="0" shrinkToFit="0" wrapText="0"/>
    </xf>
    <xf borderId="86" fillId="31" fontId="9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95" fillId="4" fontId="5" numFmtId="0" xfId="0" applyAlignment="1" applyBorder="1" applyFill="1" applyFont="1">
      <alignment horizontal="center" readingOrder="0" shrinkToFit="0" wrapText="0"/>
    </xf>
    <xf borderId="96" fillId="4" fontId="5" numFmtId="0" xfId="0" applyAlignment="1" applyBorder="1" applyFill="1" applyFont="1">
      <alignment horizontal="center" readingOrder="0" shrinkToFit="0" wrapText="0"/>
    </xf>
    <xf borderId="97" fillId="0" fontId="4" numFmtId="0" xfId="0" applyBorder="1" applyFont="1"/>
    <xf borderId="98" fillId="0" fontId="4" numFmtId="0" xfId="0" applyBorder="1" applyFont="1"/>
    <xf borderId="0" fillId="3" fontId="2" numFmtId="0" xfId="0" applyAlignment="1" applyFill="1" applyFont="1">
      <alignment readingOrder="0" shrinkToFit="0" vertical="bottom" wrapText="0"/>
    </xf>
    <xf borderId="95" fillId="28" fontId="7" numFmtId="0" xfId="0" applyAlignment="1" applyBorder="1" applyFill="1" applyFont="1">
      <alignment horizontal="center" readingOrder="0" shrinkToFit="0" wrapText="0"/>
    </xf>
    <xf borderId="95" fillId="7" fontId="2" numFmtId="0" xfId="0" applyAlignment="1" applyBorder="1" applyFill="1" applyFont="1">
      <alignment horizontal="center" readingOrder="0" shrinkToFit="0" wrapText="0"/>
    </xf>
    <xf borderId="95" fillId="15" fontId="7" numFmtId="0" xfId="0" applyAlignment="1" applyBorder="1" applyFill="1" applyFont="1">
      <alignment horizontal="center" readingOrder="0" shrinkToFit="0" wrapText="0"/>
    </xf>
    <xf borderId="95" fillId="15" fontId="2" numFmtId="0" xfId="0" applyAlignment="1" applyBorder="1" applyFill="1" applyFont="1">
      <alignment horizontal="center" readingOrder="0" shrinkToFit="0" wrapText="0"/>
    </xf>
    <xf borderId="95" fillId="10" fontId="2" numFmtId="0" xfId="0" applyAlignment="1" applyBorder="1" applyFill="1" applyFont="1">
      <alignment horizontal="center" readingOrder="0" shrinkToFit="0" wrapText="0"/>
    </xf>
    <xf borderId="95" fillId="35" fontId="7" numFmtId="0" xfId="0" applyAlignment="1" applyBorder="1" applyFill="1" applyFont="1">
      <alignment horizontal="center" readingOrder="0" shrinkToFit="0" wrapText="0"/>
    </xf>
    <xf borderId="95" fillId="35" fontId="2" numFmtId="0" xfId="0" applyAlignment="1" applyBorder="1" applyFill="1" applyFont="1">
      <alignment horizontal="center" readingOrder="0" shrinkToFit="0" wrapText="0"/>
    </xf>
    <xf borderId="95" fillId="19" fontId="7" numFmtId="0" xfId="0" applyAlignment="1" applyBorder="1" applyFill="1" applyFont="1">
      <alignment horizontal="center" readingOrder="0" shrinkToFit="0" wrapText="0"/>
    </xf>
    <xf borderId="95" fillId="10" fontId="7" numFmtId="0" xfId="0" applyAlignment="1" applyBorder="1" applyFill="1" applyFont="1">
      <alignment horizontal="center" readingOrder="0" shrinkToFit="0" wrapText="0"/>
    </xf>
    <xf borderId="95" fillId="21" fontId="7" numFmtId="0" xfId="0" applyAlignment="1" applyBorder="1" applyFill="1" applyFont="1">
      <alignment horizontal="center" readingOrder="0" shrinkToFit="0" wrapText="0"/>
    </xf>
    <xf borderId="95" fillId="47" fontId="7" numFmtId="0" xfId="0" applyAlignment="1" applyBorder="1" applyFill="1" applyFont="1">
      <alignment horizontal="center" readingOrder="0" shrinkToFit="0" wrapText="0"/>
    </xf>
    <xf borderId="95" fillId="47" fontId="2" numFmtId="0" xfId="0" applyAlignment="1" applyBorder="1" applyFill="1" applyFont="1">
      <alignment horizontal="center" readingOrder="0" shrinkToFit="0" wrapText="0"/>
    </xf>
    <xf borderId="95" fillId="11" fontId="7" numFmtId="0" xfId="0" applyAlignment="1" applyBorder="1" applyFill="1" applyFont="1">
      <alignment horizontal="center" readingOrder="0" shrinkToFit="0" wrapText="0"/>
    </xf>
    <xf borderId="95" fillId="48" fontId="7" numFmtId="0" xfId="0" applyAlignment="1" applyBorder="1" applyFill="1" applyFont="1">
      <alignment horizontal="center" readingOrder="0" shrinkToFit="0" wrapText="0"/>
    </xf>
    <xf borderId="95" fillId="48" fontId="2" numFmtId="0" xfId="0" applyAlignment="1" applyBorder="1" applyFill="1" applyFont="1">
      <alignment horizontal="center" readingOrder="0" shrinkToFit="0" wrapText="0"/>
    </xf>
    <xf borderId="95" fillId="29" fontId="7" numFmtId="0" xfId="0" applyAlignment="1" applyBorder="1" applyFill="1" applyFont="1">
      <alignment horizontal="center" readingOrder="0" shrinkToFit="0" wrapText="0"/>
    </xf>
    <xf borderId="95" fillId="11" fontId="2" numFmtId="0" xfId="0" applyAlignment="1" applyBorder="1" applyFill="1" applyFont="1">
      <alignment horizontal="center" readingOrder="0" shrinkToFit="0" wrapText="0"/>
    </xf>
    <xf borderId="95" fillId="19" fontId="7" numFmtId="0" xfId="0" applyAlignment="1" applyBorder="1" applyFill="1" applyFont="1">
      <alignment horizontal="center" readingOrder="0" shrinkToFit="0" vertical="bottom" wrapText="0"/>
    </xf>
    <xf borderId="95" fillId="19" fontId="2" numFmtId="0" xfId="0" applyAlignment="1" applyBorder="1" applyFill="1" applyFont="1">
      <alignment horizontal="center" readingOrder="0" shrinkToFit="0" vertical="bottom" wrapText="0"/>
    </xf>
    <xf borderId="95" fillId="29" fontId="7" numFmtId="0" xfId="0" applyAlignment="1" applyBorder="1" applyFill="1" applyFont="1">
      <alignment horizontal="center" readingOrder="0" shrinkToFit="0" vertical="bottom" wrapText="0"/>
    </xf>
    <xf borderId="95" fillId="29" fontId="2" numFmtId="0" xfId="0" applyAlignment="1" applyBorder="1" applyFill="1" applyFont="1">
      <alignment horizontal="center" readingOrder="0" shrinkToFit="0" vertical="bottom" wrapText="0"/>
    </xf>
    <xf borderId="95" fillId="41" fontId="7" numFmtId="0" xfId="0" applyAlignment="1" applyBorder="1" applyFill="1" applyFont="1">
      <alignment horizontal="center" readingOrder="0" shrinkToFit="0" wrapText="0"/>
    </xf>
    <xf borderId="95" fillId="21" fontId="12" numFmtId="0" xfId="0" applyAlignment="1" applyBorder="1" applyFill="1" applyFont="1">
      <alignment horizontal="center" readingOrder="0" vertical="bottom"/>
    </xf>
    <xf borderId="95" fillId="21" fontId="12" numFmtId="0" xfId="0" applyAlignment="1" applyBorder="1" applyFill="1" applyFont="1">
      <alignment horizontal="center" vertical="bottom"/>
    </xf>
    <xf borderId="95" fillId="21" fontId="13" numFmtId="0" xfId="0" applyAlignment="1" applyBorder="1" applyFill="1" applyFont="1">
      <alignment horizontal="center" vertical="bottom"/>
    </xf>
    <xf borderId="95" fillId="28" fontId="7" numFmtId="0" xfId="0" applyAlignment="1" applyBorder="1" applyFill="1" applyFont="1">
      <alignment horizontal="center" readingOrder="0" shrinkToFit="0" vertical="bottom" wrapText="0"/>
    </xf>
    <xf borderId="95" fillId="28" fontId="2" numFmtId="0" xfId="0" applyAlignment="1" applyBorder="1" applyFill="1" applyFont="1">
      <alignment horizontal="center" readingOrder="0" shrinkToFit="0" vertical="bottom" wrapText="0"/>
    </xf>
    <xf borderId="95" fillId="49" fontId="7" numFmtId="0" xfId="0" applyAlignment="1" applyBorder="1" applyFill="1" applyFont="1">
      <alignment horizontal="center" readingOrder="0" shrinkToFit="0" wrapText="0"/>
    </xf>
    <xf borderId="99" fillId="0" fontId="3" numFmtId="0" xfId="0" applyAlignment="1" applyBorder="1" applyFont="1">
      <alignment horizontal="center" readingOrder="0" shrinkToFit="0" wrapText="0"/>
    </xf>
    <xf borderId="95" fillId="50" fontId="7" numFmtId="0" xfId="0" applyAlignment="1" applyBorder="1" applyFill="1" applyFont="1">
      <alignment horizontal="center" readingOrder="0" shrinkToFit="0" wrapText="0"/>
    </xf>
    <xf borderId="100" fillId="0" fontId="4" numFmtId="0" xfId="0" applyBorder="1" applyFont="1"/>
    <xf borderId="95" fillId="50" fontId="2" numFmtId="0" xfId="0" applyAlignment="1" applyBorder="1" applyFill="1" applyFont="1">
      <alignment horizontal="center" readingOrder="0" shrinkToFit="0" wrapText="0"/>
    </xf>
    <xf borderId="77" fillId="4" fontId="5" numFmtId="0" xfId="0" applyAlignment="1" applyBorder="1" applyFill="1" applyFont="1">
      <alignment horizontal="center" readingOrder="0" shrinkToFit="0" wrapText="0"/>
    </xf>
    <xf borderId="101" fillId="0" fontId="4" numFmtId="0" xfId="0" applyBorder="1" applyFont="1"/>
    <xf borderId="95" fillId="44" fontId="7" numFmtId="0" xfId="0" applyAlignment="1" applyBorder="1" applyFill="1" applyFont="1">
      <alignment horizontal="center" readingOrder="0" shrinkToFit="0" wrapText="0"/>
    </xf>
    <xf borderId="102" fillId="0" fontId="4" numFmtId="0" xfId="0" applyBorder="1" applyFont="1"/>
    <xf borderId="103" fillId="0" fontId="4" numFmtId="0" xfId="0" applyBorder="1" applyFont="1"/>
    <xf borderId="95" fillId="44" fontId="2" numFmtId="0" xfId="0" applyAlignment="1" applyBorder="1" applyFill="1" applyFont="1">
      <alignment horizontal="center" readingOrder="0" shrinkToFit="0" wrapText="0"/>
    </xf>
    <xf borderId="52" fillId="0" fontId="4" numFmtId="0" xfId="0" applyBorder="1" applyFont="1"/>
    <xf borderId="95" fillId="34" fontId="7" numFmtId="0" xfId="0" applyAlignment="1" applyBorder="1" applyFill="1" applyFont="1">
      <alignment horizontal="center" readingOrder="0" shrinkToFit="0" wrapText="0"/>
    </xf>
    <xf borderId="95" fillId="23" fontId="7" numFmtId="0" xfId="0" applyAlignment="1" applyBorder="1" applyFill="1" applyFont="1">
      <alignment horizontal="center" readingOrder="0" shrinkToFit="0" wrapText="0"/>
    </xf>
    <xf borderId="95" fillId="23" fontId="2" numFmtId="0" xfId="0" applyAlignment="1" applyBorder="1" applyFill="1" applyFont="1">
      <alignment horizontal="center" readingOrder="0" shrinkToFit="0" wrapText="0"/>
    </xf>
    <xf borderId="104" fillId="28" fontId="7" numFmtId="0" xfId="0" applyAlignment="1" applyBorder="1" applyFill="1" applyFont="1">
      <alignment horizontal="center" readingOrder="0" shrinkToFit="0" wrapText="0"/>
    </xf>
    <xf borderId="95" fillId="51" fontId="7" numFmtId="0" xfId="0" applyAlignment="1" applyBorder="1" applyFill="1" applyFont="1">
      <alignment horizontal="center" readingOrder="0" shrinkToFit="0" wrapText="0"/>
    </xf>
    <xf borderId="87" fillId="7" fontId="2" numFmtId="0" xfId="0" applyAlignment="1" applyBorder="1" applyFill="1" applyFont="1">
      <alignment horizontal="center" readingOrder="0" shrinkToFit="0" wrapText="0"/>
    </xf>
    <xf borderId="95" fillId="51" fontId="2" numFmtId="0" xfId="0" applyAlignment="1" applyBorder="1" applyFill="1" applyFont="1">
      <alignment horizontal="center" readingOrder="0" shrinkToFit="0" wrapText="0"/>
    </xf>
    <xf borderId="27" fillId="44" fontId="7" numFmtId="0" xfId="0" applyAlignment="1" applyBorder="1" applyFill="1" applyFont="1">
      <alignment horizontal="center" readingOrder="0" shrinkToFit="0" wrapText="0"/>
    </xf>
    <xf borderId="31" fillId="44" fontId="7" numFmtId="0" xfId="0" applyAlignment="1" applyBorder="1" applyFill="1" applyFont="1">
      <alignment horizontal="center" readingOrder="0" shrinkToFit="0" wrapText="0"/>
    </xf>
    <xf borderId="30" fillId="44" fontId="2" numFmtId="0" xfId="0" applyAlignment="1" applyBorder="1" applyFill="1" applyFont="1">
      <alignment horizontal="center" readingOrder="0" shrinkToFit="0" wrapText="0"/>
    </xf>
    <xf borderId="95" fillId="41" fontId="2" numFmtId="0" xfId="0" applyAlignment="1" applyBorder="1" applyFill="1" applyFont="1">
      <alignment horizontal="center" readingOrder="0" shrinkToFit="0" wrapText="0"/>
    </xf>
    <xf borderId="31" fillId="44" fontId="2" numFmtId="0" xfId="0" applyAlignment="1" applyBorder="1" applyFill="1" applyFont="1">
      <alignment horizontal="center" readingOrder="0" shrinkToFit="0" wrapText="0"/>
    </xf>
    <xf borderId="104" fillId="15" fontId="7" numFmtId="0" xfId="0" applyAlignment="1" applyBorder="1" applyFill="1" applyFont="1">
      <alignment horizontal="center" readingOrder="0" shrinkToFit="0" wrapText="0"/>
    </xf>
    <xf borderId="69" fillId="28" fontId="7" numFmtId="0" xfId="0" applyAlignment="1" applyBorder="1" applyFill="1" applyFont="1">
      <alignment horizontal="center" readingOrder="0" shrinkToFit="0" wrapText="0"/>
    </xf>
    <xf borderId="95" fillId="49" fontId="2" numFmtId="0" xfId="0" applyAlignment="1" applyBorder="1" applyFill="1" applyFont="1">
      <alignment horizontal="center" readingOrder="0" shrinkToFit="0" wrapText="0"/>
    </xf>
    <xf borderId="68" fillId="28" fontId="2" numFmtId="0" xfId="0" applyAlignment="1" applyBorder="1" applyFill="1" applyFont="1">
      <alignment horizontal="center" readingOrder="0" shrinkToFit="0" wrapText="0"/>
    </xf>
    <xf borderId="55" fillId="34" fontId="7" numFmtId="0" xfId="0" applyAlignment="1" applyBorder="1" applyFill="1" applyFont="1">
      <alignment horizontal="center" readingOrder="0" shrinkToFit="0" wrapText="0"/>
    </xf>
    <xf borderId="0" fillId="45" fontId="1" numFmtId="0" xfId="0" applyFill="1" applyFont="1"/>
    <xf borderId="52" fillId="34" fontId="2" numFmtId="0" xfId="0" applyAlignment="1" applyBorder="1" applyFill="1" applyFont="1">
      <alignment horizontal="center" readingOrder="0" shrinkToFit="0" wrapText="0"/>
    </xf>
    <xf borderId="105" fillId="28" fontId="2" numFmtId="0" xfId="0" applyAlignment="1" applyBorder="1" applyFill="1" applyFont="1">
      <alignment horizontal="center" readingOrder="0" shrinkToFit="0" wrapText="0"/>
    </xf>
    <xf borderId="55" fillId="34" fontId="2" numFmtId="0" xfId="0" applyAlignment="1" applyBorder="1" applyFill="1" applyFont="1">
      <alignment horizontal="center" readingOrder="0" shrinkToFit="0" wrapText="0"/>
    </xf>
    <xf borderId="104" fillId="19" fontId="7" numFmtId="0" xfId="0" applyAlignment="1" applyBorder="1" applyFill="1" applyFont="1">
      <alignment horizontal="center" readingOrder="0" shrinkToFit="0" wrapText="0"/>
    </xf>
    <xf borderId="104" fillId="21" fontId="7" numFmtId="0" xfId="0" applyAlignment="1" applyBorder="1" applyFill="1" applyFont="1">
      <alignment horizontal="center" readingOrder="0" shrinkToFit="0" wrapText="0"/>
    </xf>
    <xf borderId="57" fillId="21" fontId="2" numFmtId="0" xfId="0" applyAlignment="1" applyBorder="1" applyFill="1" applyFont="1">
      <alignment horizontal="center" readingOrder="0" shrinkToFit="0" wrapText="0"/>
    </xf>
    <xf borderId="55" fillId="21" fontId="7" numFmtId="0" xfId="0" applyAlignment="1" applyBorder="1" applyFill="1" applyFont="1">
      <alignment horizontal="center" readingOrder="0" shrinkToFit="0" wrapText="0"/>
    </xf>
    <xf borderId="106" fillId="21" fontId="2" numFmtId="0" xfId="0" applyAlignment="1" applyBorder="1" applyFill="1" applyFont="1">
      <alignment horizontal="center" readingOrder="0" shrinkToFit="0" wrapText="0"/>
    </xf>
    <xf borderId="52" fillId="21" fontId="2" numFmtId="0" xfId="0" applyAlignment="1" applyBorder="1" applyFill="1" applyFont="1">
      <alignment horizontal="center" readingOrder="0" shrinkToFit="0" wrapText="0"/>
    </xf>
    <xf borderId="55" fillId="21" fontId="2" numFmtId="0" xfId="0" applyAlignment="1" applyBorder="1" applyFill="1" applyFont="1">
      <alignment horizontal="center" readingOrder="0" shrinkToFit="0" wrapText="0"/>
    </xf>
    <xf borderId="57" fillId="10" fontId="2" numFmtId="0" xfId="0" applyAlignment="1" applyBorder="1" applyFill="1" applyFont="1">
      <alignment horizontal="center" readingOrder="0" shrinkToFit="0" wrapText="0"/>
    </xf>
    <xf borderId="55" fillId="23" fontId="7" numFmtId="0" xfId="0" applyAlignment="1" applyBorder="1" applyFill="1" applyFont="1">
      <alignment horizontal="center" readingOrder="0" shrinkToFit="0" wrapText="0"/>
    </xf>
    <xf borderId="57" fillId="19" fontId="2" numFmtId="0" xfId="0" applyAlignment="1" applyBorder="1" applyFill="1" applyFont="1">
      <alignment horizontal="center" readingOrder="0" shrinkToFit="0" wrapText="0"/>
    </xf>
    <xf borderId="52" fillId="23" fontId="2" numFmtId="0" xfId="0" applyAlignment="1" applyBorder="1" applyFill="1" applyFont="1">
      <alignment horizontal="center" readingOrder="0" shrinkToFit="0" wrapText="0"/>
    </xf>
    <xf borderId="106" fillId="19" fontId="2" numFmtId="0" xfId="0" applyAlignment="1" applyBorder="1" applyFill="1" applyFont="1">
      <alignment horizontal="center" readingOrder="0" shrinkToFit="0" wrapText="0"/>
    </xf>
    <xf borderId="55" fillId="23" fontId="2" numFmtId="0" xfId="0" applyAlignment="1" applyBorder="1" applyFill="1" applyFont="1">
      <alignment horizontal="center" readingOrder="0" shrinkToFit="0" wrapText="0"/>
    </xf>
    <xf borderId="0" fillId="3" fontId="7" numFmtId="0" xfId="0" applyAlignment="1" applyFill="1" applyFont="1">
      <alignment shrinkToFit="0" vertical="bottom" wrapText="0"/>
    </xf>
    <xf borderId="104" fillId="11" fontId="7" numFmtId="0" xfId="0" applyAlignment="1" applyBorder="1" applyFill="1" applyFont="1">
      <alignment horizontal="center" readingOrder="0" shrinkToFit="0" wrapText="0"/>
    </xf>
    <xf borderId="55" fillId="11" fontId="7" numFmtId="0" xfId="0" applyAlignment="1" applyBorder="1" applyFill="1" applyFont="1">
      <alignment horizontal="center" readingOrder="0" shrinkToFit="0" wrapText="0"/>
    </xf>
    <xf borderId="52" fillId="11" fontId="2" numFmtId="0" xfId="0" applyAlignment="1" applyBorder="1" applyFill="1" applyFont="1">
      <alignment horizontal="center" readingOrder="0" shrinkToFit="0" wrapText="0"/>
    </xf>
    <xf borderId="57" fillId="11" fontId="2" numFmtId="0" xfId="0" applyAlignment="1" applyBorder="1" applyFill="1" applyFont="1">
      <alignment horizontal="center" readingOrder="0" shrinkToFit="0" wrapText="0"/>
    </xf>
    <xf borderId="55" fillId="11" fontId="2" numFmtId="0" xfId="0" applyAlignment="1" applyBorder="1" applyFill="1" applyFont="1">
      <alignment horizontal="center" readingOrder="0" shrinkToFit="0" wrapText="0"/>
    </xf>
    <xf borderId="106" fillId="11" fontId="2" numFmtId="0" xfId="0" applyAlignment="1" applyBorder="1" applyFill="1" applyFont="1">
      <alignment horizontal="center" readingOrder="0" shrinkToFit="0" wrapText="0"/>
    </xf>
    <xf borderId="104" fillId="10" fontId="7" numFmtId="0" xfId="0" applyAlignment="1" applyBorder="1" applyFill="1" applyFont="1">
      <alignment horizontal="center" readingOrder="0" shrinkToFit="0" wrapText="0"/>
    </xf>
    <xf borderId="49" fillId="49" fontId="7" numFmtId="0" xfId="0" applyAlignment="1" applyBorder="1" applyFill="1" applyFont="1">
      <alignment horizontal="center" readingOrder="0" shrinkToFit="0" wrapText="0"/>
    </xf>
    <xf borderId="55" fillId="49" fontId="7" numFmtId="0" xfId="0" applyAlignment="1" applyBorder="1" applyFill="1" applyFont="1">
      <alignment horizontal="center" readingOrder="0" shrinkToFit="0" wrapText="0"/>
    </xf>
    <xf borderId="52" fillId="49" fontId="2" numFmtId="0" xfId="0" applyAlignment="1" applyBorder="1" applyFill="1" applyFont="1">
      <alignment horizontal="center" readingOrder="0" shrinkToFit="0" wrapText="0"/>
    </xf>
    <xf borderId="104" fillId="35" fontId="7" numFmtId="0" xfId="0" applyAlignment="1" applyBorder="1" applyFill="1" applyFont="1">
      <alignment horizontal="center" readingOrder="0" shrinkToFit="0" wrapText="0"/>
    </xf>
    <xf borderId="55" fillId="49" fontId="2" numFmtId="0" xfId="0" applyAlignment="1" applyBorder="1" applyFill="1" applyFont="1">
      <alignment horizontal="center" readingOrder="0" shrinkToFit="0" wrapText="0"/>
    </xf>
    <xf borderId="57" fillId="35" fontId="2" numFmtId="0" xfId="0" applyAlignment="1" applyBorder="1" applyFill="1" applyFont="1">
      <alignment horizontal="center" readingOrder="0" shrinkToFit="0" wrapText="0"/>
    </xf>
    <xf borderId="104" fillId="41" fontId="7" numFmtId="0" xfId="0" applyAlignment="1" applyBorder="1" applyFill="1" applyFont="1">
      <alignment horizontal="center" readingOrder="0" shrinkToFit="0" wrapText="0"/>
    </xf>
    <xf borderId="106" fillId="35" fontId="2" numFmtId="0" xfId="0" applyAlignment="1" applyBorder="1" applyFill="1" applyFont="1">
      <alignment horizontal="center" readingOrder="0" shrinkToFit="0" wrapText="0"/>
    </xf>
    <xf borderId="49" fillId="19" fontId="7" numFmtId="0" xfId="0" applyAlignment="1" applyBorder="1" applyFill="1" applyFont="1">
      <alignment horizontal="center" readingOrder="0" shrinkToFit="0" wrapText="0"/>
    </xf>
    <xf borderId="55" fillId="19" fontId="7" numFmtId="0" xfId="0" applyAlignment="1" applyBorder="1" applyFill="1" applyFont="1">
      <alignment horizontal="center" readingOrder="0" shrinkToFit="0" wrapText="0"/>
    </xf>
    <xf borderId="52" fillId="19" fontId="2" numFmtId="0" xfId="0" applyAlignment="1" applyBorder="1" applyFill="1" applyFont="1">
      <alignment horizontal="center" readingOrder="0" shrinkToFit="0" wrapText="0"/>
    </xf>
    <xf borderId="55" fillId="19" fontId="2" numFmtId="0" xfId="0" applyAlignment="1" applyBorder="1" applyFill="1" applyFont="1">
      <alignment horizontal="center" readingOrder="0" shrinkToFit="0" wrapText="0"/>
    </xf>
    <xf borderId="57" fillId="15" fontId="2" numFmtId="0" xfId="0" applyAlignment="1" applyBorder="1" applyFill="1" applyFont="1">
      <alignment horizontal="center" readingOrder="0" shrinkToFit="0" wrapText="0"/>
    </xf>
    <xf borderId="106" fillId="15" fontId="2" numFmtId="0" xfId="0" applyAlignment="1" applyBorder="1" applyFill="1" applyFont="1">
      <alignment horizontal="center" readingOrder="0" shrinkToFit="0" wrapText="0"/>
    </xf>
    <xf borderId="49" fillId="10" fontId="7" numFmtId="0" xfId="0" applyAlignment="1" applyBorder="1" applyFill="1" applyFont="1">
      <alignment horizontal="center" readingOrder="0" shrinkToFit="0" wrapText="0"/>
    </xf>
    <xf borderId="55" fillId="10" fontId="7" numFmtId="0" xfId="0" applyAlignment="1" applyBorder="1" applyFill="1" applyFont="1">
      <alignment horizontal="center" readingOrder="0" shrinkToFit="0" wrapText="0"/>
    </xf>
    <xf borderId="52" fillId="10" fontId="2" numFmtId="0" xfId="0" applyAlignment="1" applyBorder="1" applyFill="1" applyFont="1">
      <alignment horizontal="center" readingOrder="0" shrinkToFit="0" wrapText="0"/>
    </xf>
    <xf borderId="104" fillId="49" fontId="7" numFmtId="0" xfId="0" applyAlignment="1" applyBorder="1" applyFill="1" applyFont="1">
      <alignment horizontal="center" readingOrder="0" shrinkToFit="0" wrapText="0"/>
    </xf>
    <xf borderId="55" fillId="10" fontId="2" numFmtId="0" xfId="0" applyAlignment="1" applyBorder="1" applyFill="1" applyFont="1">
      <alignment horizontal="center" readingOrder="0" shrinkToFit="0" wrapText="0"/>
    </xf>
    <xf borderId="104" fillId="44" fontId="7" numFmtId="0" xfId="0" applyAlignment="1" applyBorder="1" applyFill="1" applyFont="1">
      <alignment horizontal="center" readingOrder="0" shrinkToFit="0" wrapText="0"/>
    </xf>
    <xf borderId="55" fillId="15" fontId="7" numFmtId="0" xfId="0" applyAlignment="1" applyBorder="1" applyFill="1" applyFont="1">
      <alignment horizontal="center" readingOrder="0" shrinkToFit="0" wrapText="0"/>
    </xf>
    <xf borderId="57" fillId="44" fontId="2" numFmtId="0" xfId="0" applyAlignment="1" applyBorder="1" applyFill="1" applyFont="1">
      <alignment horizontal="center" readingOrder="0" shrinkToFit="0" wrapText="0"/>
    </xf>
    <xf borderId="52" fillId="15" fontId="2" numFmtId="0" xfId="0" applyAlignment="1" applyBorder="1" applyFill="1" applyFont="1">
      <alignment horizontal="center" readingOrder="0" shrinkToFit="0" wrapText="0"/>
    </xf>
    <xf borderId="106" fillId="44" fontId="2" numFmtId="0" xfId="0" applyAlignment="1" applyBorder="1" applyFill="1" applyFont="1">
      <alignment horizontal="center" readingOrder="0" shrinkToFit="0" wrapText="0"/>
    </xf>
    <xf borderId="55" fillId="15" fontId="2" numFmtId="0" xfId="0" applyAlignment="1" applyBorder="1" applyFill="1" applyFont="1">
      <alignment horizontal="center" readingOrder="0" shrinkToFit="0" wrapText="0"/>
    </xf>
    <xf borderId="107" fillId="34" fontId="7" numFmtId="0" xfId="0" applyAlignment="1" applyBorder="1" applyFill="1" applyFont="1">
      <alignment horizontal="center" readingOrder="0" shrinkToFit="0" wrapText="0"/>
    </xf>
    <xf borderId="88" fillId="44" fontId="7" numFmtId="0" xfId="0" applyAlignment="1" applyBorder="1" applyFill="1" applyFont="1">
      <alignment horizontal="center" readingOrder="0" shrinkToFit="0" wrapText="0"/>
    </xf>
    <xf borderId="108" fillId="7" fontId="2" numFmtId="0" xfId="0" applyAlignment="1" applyBorder="1" applyFill="1" applyFont="1">
      <alignment horizontal="center" readingOrder="0" shrinkToFit="0" wrapText="0"/>
    </xf>
    <xf borderId="79" fillId="7" fontId="2" numFmtId="0" xfId="0" applyAlignment="1" applyBorder="1" applyFill="1" applyFont="1">
      <alignment horizontal="center" readingOrder="0" shrinkToFit="0" wrapText="0"/>
    </xf>
    <xf borderId="108" fillId="10" fontId="2" numFmtId="0" xfId="0" applyAlignment="1" applyBorder="1" applyFill="1" applyFont="1">
      <alignment horizontal="center" readingOrder="0" shrinkToFit="0" wrapText="0"/>
    </xf>
    <xf borderId="109" fillId="7" fontId="2" numFmtId="0" xfId="0" applyAlignment="1" applyBorder="1" applyFill="1" applyFont="1">
      <alignment horizontal="center" readingOrder="0" shrinkToFit="0" wrapText="0"/>
    </xf>
    <xf borderId="55" fillId="35" fontId="7" numFmtId="0" xfId="0" applyAlignment="1" applyBorder="1" applyFill="1" applyFont="1">
      <alignment horizontal="center" readingOrder="0" shrinkToFit="0" wrapText="0"/>
    </xf>
    <xf borderId="88" fillId="49" fontId="7" numFmtId="0" xfId="0" applyAlignment="1" applyBorder="1" applyFill="1" applyFont="1">
      <alignment horizontal="center" readingOrder="0" shrinkToFit="0" wrapText="0"/>
    </xf>
    <xf borderId="52" fillId="35" fontId="2" numFmtId="0" xfId="0" applyAlignment="1" applyBorder="1" applyFill="1" applyFont="1">
      <alignment horizontal="center" readingOrder="0" shrinkToFit="0" wrapText="0"/>
    </xf>
    <xf borderId="79" fillId="49" fontId="2" numFmtId="0" xfId="0" applyAlignment="1" applyBorder="1" applyFill="1" applyFont="1">
      <alignment horizontal="center" readingOrder="0" shrinkToFit="0" wrapText="0"/>
    </xf>
    <xf borderId="55" fillId="35" fontId="2" numFmtId="0" xfId="0" applyAlignment="1" applyBorder="1" applyFill="1" applyFont="1">
      <alignment horizontal="center" readingOrder="0" shrinkToFit="0" wrapText="0"/>
    </xf>
    <xf borderId="5" fillId="49" fontId="2" numFmtId="0" xfId="0" applyAlignment="1" applyBorder="1" applyFill="1" applyFont="1">
      <alignment horizontal="center" readingOrder="0" shrinkToFit="0" wrapText="0"/>
    </xf>
    <xf borderId="110" fillId="44" fontId="7" numFmtId="0" xfId="0" applyAlignment="1" applyBorder="1" applyFill="1" applyFont="1">
      <alignment horizontal="center" readingOrder="0" shrinkToFit="0" wrapText="0"/>
    </xf>
    <xf borderId="111" fillId="7" fontId="2" numFmtId="0" xfId="0" applyAlignment="1" applyBorder="1" applyFill="1" applyFont="1">
      <alignment horizontal="center" readingOrder="0" shrinkToFit="0" wrapText="0"/>
    </xf>
    <xf borderId="112" fillId="10" fontId="2" numFmtId="0" xfId="0" applyAlignment="1" applyBorder="1" applyFill="1" applyFont="1">
      <alignment horizontal="center" readingOrder="0" shrinkToFit="0" wrapText="0"/>
    </xf>
    <xf borderId="55" fillId="41" fontId="7" numFmtId="0" xfId="0" applyAlignment="1" applyBorder="1" applyFill="1" applyFont="1">
      <alignment horizontal="center" readingOrder="0" shrinkToFit="0" wrapText="0"/>
    </xf>
    <xf borderId="52" fillId="41" fontId="2" numFmtId="0" xfId="0" applyAlignment="1" applyBorder="1" applyFill="1" applyFont="1">
      <alignment horizontal="center" readingOrder="0" shrinkToFit="0" wrapText="0"/>
    </xf>
    <xf borderId="55" fillId="41" fontId="2" numFmtId="0" xfId="0" applyAlignment="1" applyBorder="1" applyFill="1" applyFont="1">
      <alignment horizontal="center" readingOrder="0" shrinkToFit="0" wrapText="0"/>
    </xf>
    <xf borderId="113" fillId="23" fontId="7" numFmtId="0" xfId="0" applyAlignment="1" applyBorder="1" applyFill="1" applyFont="1">
      <alignment horizontal="center" readingOrder="0" shrinkToFit="0" wrapText="0"/>
    </xf>
    <xf borderId="114" fillId="7" fontId="2" numFmtId="0" xfId="0" applyAlignment="1" applyBorder="1" applyFill="1" applyFont="1">
      <alignment horizontal="center" readingOrder="0" shrinkToFit="0" wrapText="0"/>
    </xf>
    <xf borderId="114" fillId="10" fontId="2" numFmtId="0" xfId="0" applyAlignment="1" applyBorder="1" applyFill="1" applyFont="1">
      <alignment horizontal="center" readingOrder="0" shrinkToFit="0" wrapText="0"/>
    </xf>
    <xf borderId="115" fillId="7" fontId="2" numFmtId="0" xfId="0" applyAlignment="1" applyBorder="1" applyFill="1" applyFont="1">
      <alignment horizontal="center" readingOrder="0" shrinkToFit="0" wrapText="0"/>
    </xf>
    <xf borderId="88" fillId="28" fontId="7" numFmtId="0" xfId="0" applyAlignment="1" applyBorder="1" applyFill="1" applyFont="1">
      <alignment horizontal="center" readingOrder="0" shrinkToFit="0" wrapText="0"/>
    </xf>
    <xf borderId="6" fillId="28" fontId="7" numFmtId="0" xfId="0" applyAlignment="1" applyBorder="1" applyFill="1" applyFont="1">
      <alignment horizontal="center" readingOrder="0" shrinkToFit="0" wrapText="0"/>
    </xf>
    <xf borderId="89" fillId="28" fontId="2" numFmtId="0" xfId="0" applyAlignment="1" applyBorder="1" applyFill="1" applyFont="1">
      <alignment horizontal="center" readingOrder="0" shrinkToFit="0" wrapText="0"/>
    </xf>
    <xf borderId="6" fillId="28" fontId="2" numFmtId="0" xfId="0" applyAlignment="1" applyBorder="1" applyFill="1" applyFont="1">
      <alignment horizontal="center" readingOrder="0" shrinkToFit="0" wrapText="0"/>
    </xf>
    <xf borderId="0" fillId="0" fontId="8" numFmtId="0" xfId="0" applyAlignment="1" applyFont="1">
      <alignment readingOrder="0"/>
    </xf>
    <xf borderId="0" fillId="2" fontId="10" numFmtId="0" xfId="0" applyAlignment="1" applyFill="1" applyFont="1">
      <alignment readingOrder="0" vertical="bottom"/>
    </xf>
    <xf borderId="0" fillId="0" fontId="1" numFmtId="0" xfId="0" applyAlignment="1" applyFont="1">
      <alignment readingOrder="0"/>
    </xf>
    <xf borderId="0" fillId="2" fontId="10" numFmtId="0" xfId="0" applyAlignment="1" applyFill="1" applyFont="1">
      <alignment horizontal="right" vertical="bottom"/>
    </xf>
    <xf borderId="0" fillId="2" fontId="10" numFmtId="0" xfId="0" applyAlignment="1" applyFill="1" applyFont="1">
      <alignment horizontal="right"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-47625</xdr:rowOff>
    </xdr:from>
    <xdr:ext cx="9677400" cy="5867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8.5"/>
    <col customWidth="1" min="7" max="14" width="8.25"/>
    <col customWidth="1" min="15" max="15" width="4.0"/>
    <col customWidth="1" min="16" max="16" width="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1"/>
    </row>
    <row r="3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>
      <c r="A5" s="1"/>
      <c r="B5" s="10" t="s">
        <v>3</v>
      </c>
      <c r="C5" s="12" t="s">
        <v>4</v>
      </c>
      <c r="D5" s="12" t="s">
        <v>5</v>
      </c>
      <c r="E5" s="14" t="s">
        <v>6</v>
      </c>
      <c r="F5" s="1"/>
      <c r="G5" s="22" t="s">
        <v>9</v>
      </c>
      <c r="H5" s="29"/>
      <c r="I5" s="29"/>
      <c r="J5" s="29"/>
      <c r="K5" s="29"/>
      <c r="L5" s="29"/>
      <c r="M5" s="29"/>
      <c r="N5" s="54"/>
      <c r="O5" s="1"/>
      <c r="P5" s="1"/>
    </row>
    <row r="6">
      <c r="A6" s="1"/>
      <c r="B6" s="30" t="s">
        <v>13</v>
      </c>
      <c r="C6" s="32" t="s">
        <v>15</v>
      </c>
      <c r="D6" s="32" t="s">
        <v>30</v>
      </c>
      <c r="E6" s="35" t="s">
        <v>31</v>
      </c>
      <c r="F6" s="1"/>
      <c r="G6" s="65" t="s">
        <v>34</v>
      </c>
      <c r="H6" s="68"/>
      <c r="I6" s="68"/>
      <c r="J6" s="71"/>
      <c r="K6" s="75" t="s">
        <v>37</v>
      </c>
      <c r="L6" s="68"/>
      <c r="M6" s="68"/>
      <c r="N6" s="78"/>
      <c r="O6" s="1"/>
      <c r="P6" s="27"/>
    </row>
    <row r="7">
      <c r="A7" s="1"/>
      <c r="B7" s="61" t="s">
        <v>29</v>
      </c>
      <c r="C7" s="32" t="s">
        <v>33</v>
      </c>
      <c r="D7" s="32" t="s">
        <v>31</v>
      </c>
      <c r="E7" s="35" t="s">
        <v>44</v>
      </c>
      <c r="F7" s="1"/>
      <c r="G7" s="85" t="s">
        <v>44</v>
      </c>
      <c r="H7" s="101" t="s">
        <v>44</v>
      </c>
      <c r="I7" s="103" t="s">
        <v>44</v>
      </c>
      <c r="J7" s="103" t="s">
        <v>44</v>
      </c>
      <c r="K7" s="101" t="s">
        <v>33</v>
      </c>
      <c r="L7" s="101" t="s">
        <v>33</v>
      </c>
      <c r="M7" s="101" t="s">
        <v>33</v>
      </c>
      <c r="N7" s="106" t="s">
        <v>33</v>
      </c>
      <c r="O7" s="1"/>
      <c r="P7" s="27"/>
    </row>
    <row r="8">
      <c r="A8" s="1"/>
      <c r="B8" s="83" t="s">
        <v>42</v>
      </c>
      <c r="C8" s="32" t="s">
        <v>46</v>
      </c>
      <c r="D8" s="32" t="s">
        <v>55</v>
      </c>
      <c r="E8" s="35" t="s">
        <v>54</v>
      </c>
      <c r="F8" s="1"/>
      <c r="G8" s="121" t="s">
        <v>56</v>
      </c>
      <c r="H8" s="122" t="s">
        <v>56</v>
      </c>
      <c r="I8" s="122" t="s">
        <v>56</v>
      </c>
      <c r="J8" s="122" t="s">
        <v>56</v>
      </c>
      <c r="K8" s="123" t="s">
        <v>30</v>
      </c>
      <c r="L8" s="123" t="s">
        <v>30</v>
      </c>
      <c r="M8" s="123" t="s">
        <v>30</v>
      </c>
      <c r="N8" s="128" t="s">
        <v>30</v>
      </c>
      <c r="O8" s="1"/>
      <c r="P8" s="27"/>
    </row>
    <row r="9">
      <c r="A9" s="1"/>
      <c r="B9" s="88" t="s">
        <v>36</v>
      </c>
      <c r="C9" s="32" t="s">
        <v>33</v>
      </c>
      <c r="D9" s="32" t="s">
        <v>30</v>
      </c>
      <c r="E9" s="35" t="s">
        <v>65</v>
      </c>
      <c r="F9" s="1"/>
      <c r="G9" s="131" t="s">
        <v>67</v>
      </c>
      <c r="H9" s="122" t="s">
        <v>67</v>
      </c>
      <c r="I9" s="122" t="s">
        <v>67</v>
      </c>
      <c r="J9" s="122" t="s">
        <v>67</v>
      </c>
      <c r="K9" s="123" t="s">
        <v>31</v>
      </c>
      <c r="L9" s="123" t="s">
        <v>31</v>
      </c>
      <c r="M9" s="133" t="s">
        <v>31</v>
      </c>
      <c r="N9" s="138" t="s">
        <v>31</v>
      </c>
      <c r="O9" s="1"/>
      <c r="P9" s="27"/>
    </row>
    <row r="10">
      <c r="A10" s="1"/>
      <c r="B10" s="105" t="s">
        <v>28</v>
      </c>
      <c r="C10" s="32" t="s">
        <v>54</v>
      </c>
      <c r="D10" s="32" t="s">
        <v>59</v>
      </c>
      <c r="E10" s="35"/>
      <c r="F10" s="1"/>
      <c r="G10" s="121" t="s">
        <v>72</v>
      </c>
      <c r="H10" s="122" t="s">
        <v>72</v>
      </c>
      <c r="I10" s="122" t="s">
        <v>72</v>
      </c>
      <c r="J10" s="122" t="s">
        <v>72</v>
      </c>
      <c r="K10" s="123" t="s">
        <v>46</v>
      </c>
      <c r="L10" s="123" t="s">
        <v>46</v>
      </c>
      <c r="M10" s="123" t="s">
        <v>46</v>
      </c>
      <c r="N10" s="128" t="s">
        <v>46</v>
      </c>
      <c r="O10" s="1"/>
      <c r="P10" s="27"/>
    </row>
    <row r="11">
      <c r="A11" s="1"/>
      <c r="B11" s="110" t="s">
        <v>58</v>
      </c>
      <c r="C11" s="32" t="s">
        <v>59</v>
      </c>
      <c r="D11" s="32" t="s">
        <v>30</v>
      </c>
      <c r="E11" s="35"/>
      <c r="F11" s="1"/>
      <c r="G11" s="121" t="s">
        <v>73</v>
      </c>
      <c r="H11" s="122" t="s">
        <v>73</v>
      </c>
      <c r="I11" s="122" t="s">
        <v>73</v>
      </c>
      <c r="J11" s="122" t="s">
        <v>73</v>
      </c>
      <c r="K11" s="123" t="s">
        <v>75</v>
      </c>
      <c r="L11" s="123" t="s">
        <v>75</v>
      </c>
      <c r="M11" s="133" t="s">
        <v>75</v>
      </c>
      <c r="N11" s="138" t="s">
        <v>75</v>
      </c>
      <c r="O11" s="1"/>
      <c r="P11" s="27"/>
    </row>
    <row r="12">
      <c r="A12" s="1"/>
      <c r="B12" s="112" t="s">
        <v>32</v>
      </c>
      <c r="C12" s="32" t="s">
        <v>44</v>
      </c>
      <c r="D12" s="32" t="s">
        <v>65</v>
      </c>
      <c r="E12" s="35"/>
      <c r="F12" s="1"/>
      <c r="G12" s="131" t="s">
        <v>76</v>
      </c>
      <c r="H12" s="123" t="s">
        <v>76</v>
      </c>
      <c r="I12" s="123" t="s">
        <v>76</v>
      </c>
      <c r="J12" s="123" t="s">
        <v>76</v>
      </c>
      <c r="K12" s="123" t="s">
        <v>65</v>
      </c>
      <c r="L12" s="123" t="s">
        <v>65</v>
      </c>
      <c r="M12" s="123" t="s">
        <v>65</v>
      </c>
      <c r="N12" s="138" t="s">
        <v>65</v>
      </c>
      <c r="O12" s="1"/>
      <c r="P12" s="27"/>
    </row>
    <row r="13">
      <c r="A13" s="1"/>
      <c r="B13" s="119" t="s">
        <v>61</v>
      </c>
      <c r="C13" s="32" t="s">
        <v>46</v>
      </c>
      <c r="D13" s="32" t="s">
        <v>55</v>
      </c>
      <c r="E13" s="35"/>
      <c r="F13" s="1"/>
      <c r="G13" s="131" t="s">
        <v>77</v>
      </c>
      <c r="H13" s="123" t="s">
        <v>77</v>
      </c>
      <c r="I13" s="123" t="s">
        <v>77</v>
      </c>
      <c r="J13" s="122" t="s">
        <v>77</v>
      </c>
      <c r="K13" s="123" t="s">
        <v>15</v>
      </c>
      <c r="L13" s="123" t="s">
        <v>15</v>
      </c>
      <c r="M13" s="123" t="s">
        <v>15</v>
      </c>
      <c r="N13" s="128" t="s">
        <v>15</v>
      </c>
      <c r="O13" s="1"/>
      <c r="P13" s="27"/>
    </row>
    <row r="14">
      <c r="A14" s="1"/>
      <c r="B14" s="127" t="s">
        <v>47</v>
      </c>
      <c r="C14" s="32" t="s">
        <v>64</v>
      </c>
      <c r="D14" s="32" t="s">
        <v>15</v>
      </c>
      <c r="E14" s="35"/>
      <c r="F14" s="1"/>
      <c r="G14" s="131" t="s">
        <v>64</v>
      </c>
      <c r="H14" s="123" t="s">
        <v>64</v>
      </c>
      <c r="I14" s="123" t="s">
        <v>64</v>
      </c>
      <c r="J14" s="123" t="s">
        <v>64</v>
      </c>
      <c r="K14" s="133" t="s">
        <v>79</v>
      </c>
      <c r="L14" s="133" t="s">
        <v>79</v>
      </c>
      <c r="M14" s="133" t="s">
        <v>79</v>
      </c>
      <c r="N14" s="138" t="s">
        <v>79</v>
      </c>
      <c r="O14" s="1"/>
      <c r="P14" s="27"/>
    </row>
    <row r="15">
      <c r="A15" s="1"/>
      <c r="B15" s="137" t="s">
        <v>66</v>
      </c>
      <c r="C15" s="32" t="s">
        <v>59</v>
      </c>
      <c r="D15" s="32" t="s">
        <v>80</v>
      </c>
      <c r="E15" s="35"/>
      <c r="F15" s="1"/>
      <c r="G15" s="131" t="s">
        <v>80</v>
      </c>
      <c r="H15" s="123" t="s">
        <v>80</v>
      </c>
      <c r="I15" s="123" t="s">
        <v>80</v>
      </c>
      <c r="J15" s="123" t="s">
        <v>80</v>
      </c>
      <c r="K15" s="123" t="s">
        <v>54</v>
      </c>
      <c r="L15" s="123" t="s">
        <v>54</v>
      </c>
      <c r="M15" s="133" t="s">
        <v>54</v>
      </c>
      <c r="N15" s="138" t="s">
        <v>54</v>
      </c>
      <c r="O15" s="1"/>
      <c r="P15" s="27"/>
    </row>
    <row r="16">
      <c r="A16" s="1"/>
      <c r="B16" s="142" t="s">
        <v>70</v>
      </c>
      <c r="C16" s="32" t="s">
        <v>30</v>
      </c>
      <c r="D16" s="32" t="s">
        <v>77</v>
      </c>
      <c r="E16" s="35"/>
      <c r="F16" s="1"/>
      <c r="G16" s="154" t="s">
        <v>55</v>
      </c>
      <c r="H16" s="156" t="s">
        <v>55</v>
      </c>
      <c r="I16" s="156" t="s">
        <v>55</v>
      </c>
      <c r="J16" s="157" t="s">
        <v>55</v>
      </c>
      <c r="K16" s="158" t="s">
        <v>59</v>
      </c>
      <c r="L16" s="158" t="s">
        <v>59</v>
      </c>
      <c r="M16" s="158" t="s">
        <v>59</v>
      </c>
      <c r="N16" s="159" t="s">
        <v>59</v>
      </c>
      <c r="O16" s="1"/>
      <c r="P16" s="27"/>
    </row>
    <row r="17">
      <c r="A17" s="1"/>
      <c r="B17" s="147" t="s">
        <v>60</v>
      </c>
      <c r="C17" s="32" t="s">
        <v>64</v>
      </c>
      <c r="D17" s="32" t="s">
        <v>59</v>
      </c>
      <c r="E17" s="35"/>
      <c r="F17" s="1"/>
      <c r="G17" s="27"/>
      <c r="H17" s="27"/>
      <c r="I17" s="27"/>
      <c r="J17" s="27"/>
      <c r="K17" s="1"/>
      <c r="L17" s="1"/>
      <c r="M17" s="1"/>
      <c r="N17" s="1"/>
      <c r="O17" s="1"/>
      <c r="P17" s="27"/>
    </row>
    <row r="18">
      <c r="A18" s="1"/>
      <c r="B18" s="151" t="s">
        <v>49</v>
      </c>
      <c r="C18" s="32" t="s">
        <v>33</v>
      </c>
      <c r="D18" s="32" t="s">
        <v>15</v>
      </c>
      <c r="E18" s="35"/>
      <c r="F18" s="1"/>
      <c r="G18" s="1"/>
      <c r="H18" s="1"/>
      <c r="I18" s="1"/>
      <c r="J18" s="1"/>
      <c r="K18" s="1"/>
      <c r="L18" s="1"/>
      <c r="M18" s="1"/>
      <c r="N18" s="1"/>
      <c r="O18" s="1"/>
      <c r="P18" s="27"/>
    </row>
    <row r="19">
      <c r="A19" s="1"/>
      <c r="B19" s="153" t="s">
        <v>68</v>
      </c>
      <c r="C19" s="32" t="s">
        <v>46</v>
      </c>
      <c r="D19" s="32" t="s">
        <v>77</v>
      </c>
      <c r="E19" s="35"/>
      <c r="F19" s="1"/>
      <c r="G19" s="1"/>
      <c r="H19" s="1"/>
      <c r="I19" s="1"/>
      <c r="J19" s="1"/>
      <c r="K19" s="1"/>
      <c r="L19" s="1"/>
      <c r="M19" s="1"/>
      <c r="N19" s="1"/>
      <c r="O19" s="1"/>
      <c r="P19" s="27"/>
    </row>
    <row r="20">
      <c r="A20" s="1"/>
      <c r="B20" s="166" t="s">
        <v>21</v>
      </c>
      <c r="C20" s="32" t="s">
        <v>46</v>
      </c>
      <c r="D20" s="32" t="s">
        <v>64</v>
      </c>
      <c r="E20" s="35"/>
      <c r="F20" s="1"/>
      <c r="G20" s="1"/>
      <c r="H20" s="1"/>
      <c r="I20" s="1"/>
      <c r="J20" s="1"/>
      <c r="K20" s="1"/>
      <c r="L20" s="1"/>
      <c r="M20" s="1"/>
      <c r="N20" s="1"/>
      <c r="O20" s="1"/>
      <c r="P20" s="27"/>
    </row>
    <row r="21">
      <c r="A21" s="1"/>
      <c r="B21" s="170" t="s">
        <v>57</v>
      </c>
      <c r="C21" s="32" t="s">
        <v>75</v>
      </c>
      <c r="D21" s="32" t="s">
        <v>80</v>
      </c>
      <c r="E21" s="35"/>
      <c r="F21" s="1"/>
      <c r="G21" s="1"/>
      <c r="H21" s="1"/>
      <c r="I21" s="1"/>
      <c r="J21" s="1"/>
      <c r="K21" s="1"/>
      <c r="L21" s="1"/>
      <c r="M21" s="1"/>
      <c r="N21" s="1"/>
      <c r="O21" s="1"/>
      <c r="P21" s="27"/>
    </row>
    <row r="22">
      <c r="A22" s="1"/>
      <c r="B22" s="173" t="s">
        <v>78</v>
      </c>
      <c r="C22" s="32" t="s">
        <v>77</v>
      </c>
      <c r="D22" s="32" t="s">
        <v>33</v>
      </c>
      <c r="E22" s="35"/>
      <c r="F22" s="1"/>
      <c r="G22" s="175"/>
      <c r="H22" s="175"/>
      <c r="I22" s="175"/>
      <c r="J22" s="175"/>
      <c r="K22" s="175"/>
      <c r="L22" s="175"/>
      <c r="M22" s="175"/>
      <c r="N22" s="1"/>
      <c r="O22" s="1"/>
      <c r="P22" s="27"/>
    </row>
    <row r="23">
      <c r="A23" s="1"/>
      <c r="B23" s="181" t="s">
        <v>74</v>
      </c>
      <c r="C23" s="32" t="s">
        <v>15</v>
      </c>
      <c r="D23" s="32" t="s">
        <v>80</v>
      </c>
      <c r="E23" s="35"/>
      <c r="F23" s="1"/>
      <c r="G23" s="175"/>
      <c r="H23" s="175"/>
      <c r="I23" s="175"/>
      <c r="J23" s="175"/>
      <c r="K23" s="175"/>
      <c r="L23" s="175"/>
      <c r="M23" s="175"/>
      <c r="N23" s="175"/>
      <c r="O23" s="1"/>
      <c r="P23" s="27"/>
    </row>
    <row r="24">
      <c r="A24" s="1"/>
      <c r="B24" s="187" t="s">
        <v>22</v>
      </c>
      <c r="C24" s="32" t="s">
        <v>67</v>
      </c>
      <c r="D24" s="32" t="s">
        <v>76</v>
      </c>
      <c r="E24" s="35"/>
      <c r="F24" s="1"/>
      <c r="G24" s="1"/>
      <c r="H24" s="1"/>
      <c r="I24" s="1"/>
      <c r="J24" s="1"/>
      <c r="K24" s="1"/>
      <c r="L24" s="1"/>
      <c r="M24" s="1"/>
      <c r="N24" s="1"/>
      <c r="O24" s="1"/>
      <c r="P24" s="27"/>
    </row>
    <row r="25">
      <c r="A25" s="1"/>
      <c r="B25" s="193" t="s">
        <v>50</v>
      </c>
      <c r="C25" s="32" t="s">
        <v>55</v>
      </c>
      <c r="D25" s="32" t="s">
        <v>76</v>
      </c>
      <c r="E25" s="35"/>
      <c r="F25" s="1"/>
      <c r="G25" s="1"/>
      <c r="H25" s="1"/>
      <c r="I25" s="1"/>
      <c r="J25" s="1"/>
      <c r="K25" s="1"/>
      <c r="L25" s="1"/>
      <c r="M25" s="1"/>
      <c r="N25" s="1"/>
      <c r="O25" s="1"/>
      <c r="P25" s="27"/>
    </row>
    <row r="26">
      <c r="A26" s="1"/>
      <c r="B26" s="197" t="s">
        <v>85</v>
      </c>
      <c r="C26" s="32" t="s">
        <v>80</v>
      </c>
      <c r="D26" s="32" t="s">
        <v>65</v>
      </c>
      <c r="E26" s="35"/>
      <c r="F26" s="1"/>
      <c r="G26" s="1"/>
      <c r="H26" s="1"/>
      <c r="I26" s="1"/>
      <c r="J26" s="1"/>
      <c r="K26" s="1"/>
      <c r="L26" s="1"/>
      <c r="M26" s="1"/>
      <c r="N26" s="1"/>
      <c r="O26" s="1"/>
      <c r="P26" s="27"/>
    </row>
    <row r="27">
      <c r="A27" s="1"/>
      <c r="B27" s="199" t="s">
        <v>63</v>
      </c>
      <c r="C27" s="32" t="s">
        <v>75</v>
      </c>
      <c r="D27" s="32" t="s">
        <v>76</v>
      </c>
      <c r="E27" s="35"/>
      <c r="F27" s="1"/>
      <c r="G27" s="1"/>
      <c r="H27" s="1"/>
      <c r="I27" s="1"/>
      <c r="J27" s="1"/>
      <c r="K27" s="1"/>
      <c r="L27" s="1"/>
      <c r="M27" s="1"/>
      <c r="N27" s="1"/>
      <c r="O27" s="1"/>
      <c r="P27" s="27"/>
    </row>
    <row r="28">
      <c r="A28" s="1"/>
      <c r="B28" s="201" t="s">
        <v>46</v>
      </c>
      <c r="C28" s="203" t="s">
        <v>64</v>
      </c>
      <c r="D28" s="203" t="s">
        <v>76</v>
      </c>
      <c r="E28" s="204"/>
      <c r="F28" s="1"/>
      <c r="G28" s="175"/>
      <c r="H28" s="175"/>
      <c r="I28" s="175"/>
      <c r="J28" s="175"/>
      <c r="K28" s="175"/>
      <c r="L28" s="175"/>
      <c r="M28" s="175"/>
      <c r="N28" s="1"/>
      <c r="O28" s="1"/>
      <c r="P28" s="27"/>
    </row>
    <row r="29">
      <c r="A29" s="1"/>
      <c r="B29" s="1"/>
      <c r="C29" s="1"/>
      <c r="D29" s="1"/>
      <c r="E29" s="1"/>
      <c r="F29" s="1"/>
      <c r="G29" s="175"/>
      <c r="H29" s="175"/>
      <c r="I29" s="175"/>
      <c r="J29" s="175"/>
      <c r="K29" s="175"/>
      <c r="L29" s="175"/>
      <c r="M29" s="175"/>
      <c r="N29" s="175"/>
      <c r="O29" s="1"/>
      <c r="P29" s="1"/>
    </row>
    <row r="30">
      <c r="A30" s="1"/>
      <c r="B30" s="1"/>
      <c r="C30" s="213" t="s">
        <v>90</v>
      </c>
      <c r="D30" s="26"/>
      <c r="E30" s="21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>
      <c r="A31" s="1"/>
      <c r="B31" s="1"/>
      <c r="C31" s="222" t="s">
        <v>93</v>
      </c>
      <c r="D31" s="224" t="s">
        <v>94</v>
      </c>
      <c r="E31" s="224" t="s">
        <v>93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>
      <c r="A32" s="1"/>
      <c r="B32" s="1"/>
      <c r="C32" s="231"/>
      <c r="D32" s="233"/>
      <c r="E32" s="23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>
      <c r="A33" s="1"/>
      <c r="B33" s="1"/>
      <c r="C33" s="231"/>
      <c r="D33" s="241"/>
      <c r="E33" s="24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>
      <c r="A34" s="1"/>
      <c r="B34" s="1"/>
      <c r="C34" s="231"/>
      <c r="D34" s="251"/>
      <c r="E34" s="246"/>
      <c r="F34" s="1"/>
      <c r="G34" s="175"/>
      <c r="H34" s="175"/>
      <c r="I34" s="175"/>
      <c r="J34" s="175"/>
      <c r="K34" s="175"/>
      <c r="L34" s="175"/>
      <c r="M34" s="175"/>
      <c r="N34" s="1"/>
      <c r="O34" s="1"/>
      <c r="P34" s="1"/>
    </row>
    <row r="35">
      <c r="A35" s="1"/>
      <c r="B35" s="1"/>
      <c r="C35" s="231"/>
      <c r="D35" s="251"/>
      <c r="E35" s="246"/>
      <c r="F35" s="1"/>
      <c r="G35" s="175"/>
      <c r="H35" s="175"/>
      <c r="I35" s="175"/>
      <c r="J35" s="175"/>
      <c r="K35" s="175"/>
      <c r="L35" s="175"/>
      <c r="M35" s="175"/>
      <c r="N35" s="175"/>
      <c r="O35" s="175"/>
      <c r="P35" s="175"/>
    </row>
    <row r="36">
      <c r="A36" s="1"/>
      <c r="B36" s="1"/>
      <c r="C36" s="231"/>
      <c r="D36" s="251"/>
      <c r="E36" s="246"/>
      <c r="F36" s="1"/>
      <c r="G36" s="175"/>
      <c r="H36" s="175"/>
      <c r="I36" s="175"/>
      <c r="J36" s="175"/>
      <c r="K36" s="175"/>
      <c r="L36" s="175"/>
      <c r="M36" s="175"/>
      <c r="N36" s="175"/>
      <c r="O36" s="175"/>
      <c r="P36" s="175"/>
    </row>
    <row r="37">
      <c r="A37" s="1"/>
      <c r="B37" s="1"/>
      <c r="C37" s="231"/>
      <c r="D37" s="251"/>
      <c r="E37" s="246"/>
      <c r="F37" s="1"/>
      <c r="G37" s="175"/>
      <c r="H37" s="175"/>
      <c r="I37" s="175"/>
      <c r="J37" s="175"/>
      <c r="K37" s="175"/>
      <c r="L37" s="175"/>
      <c r="M37" s="175"/>
      <c r="N37" s="175"/>
      <c r="O37" s="175"/>
      <c r="P37" s="175"/>
    </row>
    <row r="38">
      <c r="A38" s="1"/>
      <c r="B38" s="1"/>
      <c r="C38" s="231"/>
      <c r="D38" s="251"/>
      <c r="E38" s="246"/>
      <c r="F38" s="1"/>
      <c r="G38" s="175"/>
      <c r="H38" s="175"/>
      <c r="I38" s="175"/>
      <c r="J38" s="175"/>
      <c r="K38" s="175"/>
      <c r="L38" s="175"/>
      <c r="M38" s="175"/>
      <c r="N38" s="175"/>
      <c r="O38" s="175"/>
      <c r="P38" s="175"/>
    </row>
    <row r="39">
      <c r="A39" s="1"/>
      <c r="B39" s="1"/>
      <c r="C39" s="231"/>
      <c r="D39" s="251"/>
      <c r="E39" s="246"/>
      <c r="F39" s="1"/>
      <c r="G39" s="175"/>
      <c r="H39" s="175"/>
      <c r="I39" s="175"/>
      <c r="J39" s="175"/>
      <c r="K39" s="175"/>
      <c r="L39" s="175"/>
      <c r="M39" s="175"/>
      <c r="N39" s="175"/>
      <c r="O39" s="175"/>
      <c r="P39" s="175"/>
    </row>
    <row r="40">
      <c r="A40" s="1"/>
      <c r="B40" s="1"/>
      <c r="C40" s="231"/>
      <c r="D40" s="251"/>
      <c r="E40" s="246"/>
      <c r="F40" s="1"/>
      <c r="G40" s="175"/>
      <c r="H40" s="175"/>
      <c r="I40" s="175"/>
      <c r="J40" s="175"/>
      <c r="K40" s="175"/>
      <c r="L40" s="175"/>
      <c r="M40" s="175"/>
      <c r="N40" s="175"/>
      <c r="O40" s="175"/>
      <c r="P40" s="175"/>
    </row>
    <row r="41">
      <c r="A41" s="1"/>
      <c r="B41" s="1"/>
      <c r="C41" s="231"/>
      <c r="D41" s="251"/>
      <c r="E41" s="246"/>
      <c r="F41" s="1"/>
      <c r="G41" s="175"/>
      <c r="H41" s="175"/>
      <c r="I41" s="175"/>
      <c r="J41" s="175"/>
      <c r="K41" s="175"/>
      <c r="L41" s="175"/>
      <c r="M41" s="175"/>
      <c r="N41" s="175"/>
      <c r="O41" s="175"/>
      <c r="P41" s="175"/>
    </row>
    <row r="42">
      <c r="A42" s="1"/>
      <c r="B42" s="1"/>
      <c r="C42" s="231"/>
      <c r="D42" s="251"/>
      <c r="E42" s="246"/>
      <c r="F42" s="1"/>
      <c r="G42" s="175"/>
      <c r="H42" s="175"/>
      <c r="I42" s="175"/>
      <c r="J42" s="175"/>
      <c r="K42" s="175"/>
      <c r="L42" s="175"/>
      <c r="M42" s="175"/>
      <c r="N42" s="175"/>
      <c r="O42" s="175"/>
      <c r="P42" s="175"/>
    </row>
    <row r="43">
      <c r="A43" s="1"/>
      <c r="B43" s="1"/>
      <c r="C43" s="272"/>
      <c r="D43" s="274"/>
      <c r="E43" s="276"/>
      <c r="F43" s="1"/>
      <c r="G43" s="175"/>
      <c r="H43" s="175"/>
      <c r="I43" s="175"/>
      <c r="J43" s="175"/>
      <c r="K43" s="175"/>
      <c r="L43" s="175"/>
      <c r="M43" s="175"/>
      <c r="N43" s="175"/>
      <c r="O43" s="175"/>
      <c r="P43" s="175"/>
    </row>
    <row r="44">
      <c r="A44" s="1"/>
      <c r="B44" s="1"/>
      <c r="C44" s="1"/>
      <c r="D44" s="1"/>
      <c r="E44" s="1"/>
      <c r="F44" s="1"/>
      <c r="G44" s="175"/>
      <c r="H44" s="175"/>
      <c r="I44" s="175"/>
      <c r="J44" s="175"/>
      <c r="K44" s="175"/>
      <c r="L44" s="175"/>
      <c r="M44" s="175"/>
      <c r="N44" s="175"/>
      <c r="O44" s="175"/>
      <c r="P44" s="175"/>
    </row>
    <row r="45">
      <c r="A45" s="1"/>
      <c r="B45" s="1"/>
      <c r="C45" s="1"/>
      <c r="D45" s="1"/>
      <c r="E45" s="1"/>
      <c r="F45" s="1"/>
      <c r="G45" s="175"/>
      <c r="H45" s="175"/>
      <c r="I45" s="175"/>
      <c r="J45" s="175"/>
      <c r="K45" s="175"/>
      <c r="L45" s="175"/>
      <c r="M45" s="175"/>
      <c r="N45" s="175"/>
      <c r="O45" s="175"/>
      <c r="P45" s="175"/>
    </row>
    <row r="46">
      <c r="A46" s="1"/>
      <c r="B46" s="1"/>
      <c r="C46" s="1"/>
      <c r="D46" s="1"/>
      <c r="E46" s="1"/>
      <c r="F46" s="1"/>
      <c r="G46" s="175"/>
      <c r="H46" s="175"/>
      <c r="I46" s="175"/>
      <c r="J46" s="175"/>
      <c r="K46" s="175"/>
      <c r="L46" s="175"/>
      <c r="M46" s="175"/>
      <c r="N46" s="175"/>
      <c r="O46" s="175"/>
      <c r="P46" s="175"/>
    </row>
  </sheetData>
  <mergeCells count="5">
    <mergeCell ref="B2:O3"/>
    <mergeCell ref="G5:N5"/>
    <mergeCell ref="G6:J6"/>
    <mergeCell ref="K6:N6"/>
    <mergeCell ref="C30:E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7" width="8.5"/>
    <col customWidth="1" min="8" max="8" width="3.38"/>
    <col customWidth="1" min="9" max="9" width="8.5"/>
    <col customWidth="1" min="10" max="13" width="4.0"/>
    <col customWidth="1" min="14" max="14" width="4.75"/>
    <col customWidth="1" min="15" max="16" width="8.5"/>
    <col customWidth="1" min="17" max="17" width="4.0"/>
    <col customWidth="1" min="18" max="18" width="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0" t="s">
        <v>3</v>
      </c>
      <c r="C5" s="12" t="s">
        <v>4</v>
      </c>
      <c r="D5" s="12" t="s">
        <v>5</v>
      </c>
      <c r="E5" s="12" t="s">
        <v>6</v>
      </c>
      <c r="F5" s="14" t="s">
        <v>7</v>
      </c>
      <c r="G5" s="1"/>
      <c r="H5" s="16" t="s">
        <v>8</v>
      </c>
      <c r="I5" s="18" t="s">
        <v>3</v>
      </c>
      <c r="J5" s="18" t="s">
        <v>10</v>
      </c>
      <c r="K5" s="20"/>
      <c r="L5" s="20"/>
      <c r="M5" s="21"/>
      <c r="N5" s="23" t="s">
        <v>11</v>
      </c>
      <c r="O5" s="1"/>
      <c r="P5" s="25" t="s">
        <v>3</v>
      </c>
      <c r="Q5" s="10" t="s">
        <v>12</v>
      </c>
      <c r="R5" s="1"/>
    </row>
    <row r="6">
      <c r="A6" s="27"/>
      <c r="B6" s="30" t="s">
        <v>13</v>
      </c>
      <c r="C6" s="32" t="s">
        <v>15</v>
      </c>
      <c r="D6" s="32"/>
      <c r="E6" s="32"/>
      <c r="F6" s="35"/>
      <c r="G6" s="1"/>
      <c r="H6" s="38"/>
      <c r="I6" s="38" t="s">
        <v>21</v>
      </c>
      <c r="J6" s="41"/>
      <c r="K6" s="43"/>
      <c r="L6" s="43"/>
      <c r="M6" s="45"/>
      <c r="N6" s="50"/>
      <c r="O6" s="52"/>
      <c r="P6" s="56"/>
      <c r="Q6" s="58"/>
      <c r="R6" s="27"/>
    </row>
    <row r="7">
      <c r="A7" s="27"/>
      <c r="B7" s="61" t="s">
        <v>29</v>
      </c>
      <c r="C7" s="32" t="s">
        <v>33</v>
      </c>
      <c r="D7" s="32"/>
      <c r="E7" s="32"/>
      <c r="F7" s="35"/>
      <c r="G7" s="1"/>
      <c r="H7" s="66"/>
      <c r="I7" s="66" t="s">
        <v>36</v>
      </c>
      <c r="J7" s="69"/>
      <c r="K7" s="72"/>
      <c r="L7" s="72"/>
      <c r="M7" s="74"/>
      <c r="N7" s="76"/>
      <c r="O7" s="52"/>
      <c r="P7" s="79"/>
      <c r="Q7" s="81" t="s">
        <v>40</v>
      </c>
      <c r="R7" s="27"/>
    </row>
    <row r="8">
      <c r="A8" s="27"/>
      <c r="B8" s="83" t="s">
        <v>42</v>
      </c>
      <c r="C8" s="32" t="s">
        <v>46</v>
      </c>
      <c r="D8" s="32"/>
      <c r="E8" s="32"/>
      <c r="F8" s="35"/>
      <c r="G8" s="1"/>
      <c r="H8" s="86"/>
      <c r="I8" s="86" t="s">
        <v>47</v>
      </c>
      <c r="J8" s="69"/>
      <c r="K8" s="72"/>
      <c r="L8" s="72"/>
      <c r="M8" s="74"/>
      <c r="N8" s="76"/>
      <c r="O8" s="52"/>
      <c r="P8" s="79"/>
      <c r="Q8" s="81"/>
      <c r="R8" s="27"/>
    </row>
    <row r="9">
      <c r="A9" s="27"/>
      <c r="B9" s="88" t="s">
        <v>36</v>
      </c>
      <c r="C9" s="32" t="s">
        <v>33</v>
      </c>
      <c r="D9" s="32"/>
      <c r="E9" s="32"/>
      <c r="F9" s="35"/>
      <c r="G9" s="1"/>
      <c r="H9" s="93"/>
      <c r="I9" s="93" t="s">
        <v>49</v>
      </c>
      <c r="J9" s="69"/>
      <c r="K9" s="72"/>
      <c r="L9" s="72"/>
      <c r="M9" s="74"/>
      <c r="N9" s="76"/>
      <c r="O9" s="1"/>
      <c r="P9" s="79"/>
      <c r="Q9" s="81"/>
      <c r="R9" s="27"/>
    </row>
    <row r="10">
      <c r="A10" s="27"/>
      <c r="B10" s="105" t="s">
        <v>28</v>
      </c>
      <c r="C10" s="32" t="s">
        <v>54</v>
      </c>
      <c r="D10" s="32"/>
      <c r="E10" s="32"/>
      <c r="F10" s="35"/>
      <c r="G10" s="1"/>
      <c r="H10" s="109"/>
      <c r="I10" s="109" t="s">
        <v>57</v>
      </c>
      <c r="J10" s="69"/>
      <c r="K10" s="72"/>
      <c r="L10" s="72"/>
      <c r="M10" s="74"/>
      <c r="N10" s="76"/>
      <c r="O10" s="1"/>
      <c r="P10" s="79"/>
      <c r="Q10" s="81"/>
      <c r="R10" s="27"/>
    </row>
    <row r="11">
      <c r="A11" s="27"/>
      <c r="B11" s="110" t="s">
        <v>58</v>
      </c>
      <c r="C11" s="32" t="s">
        <v>59</v>
      </c>
      <c r="D11" s="32"/>
      <c r="E11" s="32"/>
      <c r="F11" s="35"/>
      <c r="G11" s="1"/>
      <c r="H11" s="111"/>
      <c r="I11" s="111" t="s">
        <v>60</v>
      </c>
      <c r="J11" s="69"/>
      <c r="K11" s="72"/>
      <c r="L11" s="72"/>
      <c r="M11" s="74"/>
      <c r="N11" s="76"/>
      <c r="O11" s="1"/>
      <c r="P11" s="79"/>
      <c r="Q11" s="81"/>
      <c r="R11" s="27"/>
    </row>
    <row r="12">
      <c r="A12" s="27"/>
      <c r="B12" s="112" t="s">
        <v>32</v>
      </c>
      <c r="C12" s="32" t="s">
        <v>44</v>
      </c>
      <c r="D12" s="32"/>
      <c r="E12" s="32"/>
      <c r="F12" s="35"/>
      <c r="G12" s="1"/>
      <c r="H12" s="114"/>
      <c r="I12" s="114" t="s">
        <v>28</v>
      </c>
      <c r="J12" s="69"/>
      <c r="K12" s="72"/>
      <c r="L12" s="72"/>
      <c r="M12" s="74"/>
      <c r="N12" s="76"/>
      <c r="O12" s="1"/>
      <c r="P12" s="79"/>
      <c r="Q12" s="117"/>
      <c r="R12" s="27"/>
    </row>
    <row r="13">
      <c r="A13" s="27"/>
      <c r="B13" s="119" t="s">
        <v>61</v>
      </c>
      <c r="C13" s="32" t="s">
        <v>46</v>
      </c>
      <c r="D13" s="32"/>
      <c r="E13" s="32"/>
      <c r="F13" s="35"/>
      <c r="G13" s="1"/>
      <c r="H13" s="125"/>
      <c r="I13" s="125" t="s">
        <v>63</v>
      </c>
      <c r="J13" s="69"/>
      <c r="K13" s="72"/>
      <c r="L13" s="72"/>
      <c r="M13" s="74"/>
      <c r="N13" s="76"/>
      <c r="O13" s="1"/>
      <c r="P13" s="79"/>
      <c r="Q13" s="81"/>
      <c r="R13" s="27"/>
    </row>
    <row r="14">
      <c r="A14" s="27"/>
      <c r="B14" s="127" t="s">
        <v>47</v>
      </c>
      <c r="C14" s="32" t="s">
        <v>64</v>
      </c>
      <c r="D14" s="32"/>
      <c r="E14" s="32"/>
      <c r="F14" s="35"/>
      <c r="G14" s="1"/>
      <c r="H14" s="129"/>
      <c r="I14" s="129" t="s">
        <v>46</v>
      </c>
      <c r="J14" s="69"/>
      <c r="K14" s="72"/>
      <c r="L14" s="72"/>
      <c r="M14" s="74"/>
      <c r="N14" s="76"/>
      <c r="O14" s="1"/>
      <c r="P14" s="79"/>
      <c r="Q14" s="81"/>
      <c r="R14" s="27"/>
    </row>
    <row r="15">
      <c r="A15" s="27"/>
      <c r="B15" s="137" t="s">
        <v>66</v>
      </c>
      <c r="C15" s="32"/>
      <c r="D15" s="32"/>
      <c r="E15" s="32"/>
      <c r="F15" s="35"/>
      <c r="G15" s="1"/>
      <c r="H15" s="140"/>
      <c r="I15" s="140" t="s">
        <v>70</v>
      </c>
      <c r="J15" s="69"/>
      <c r="K15" s="72"/>
      <c r="L15" s="72"/>
      <c r="M15" s="74"/>
      <c r="N15" s="76"/>
      <c r="O15" s="1"/>
      <c r="P15" s="79"/>
      <c r="Q15" s="81"/>
      <c r="R15" s="27"/>
    </row>
    <row r="16">
      <c r="A16" s="27"/>
      <c r="B16" s="142" t="s">
        <v>70</v>
      </c>
      <c r="C16" s="32"/>
      <c r="D16" s="32"/>
      <c r="E16" s="32"/>
      <c r="F16" s="35"/>
      <c r="G16" s="1"/>
      <c r="H16" s="144"/>
      <c r="I16" s="144" t="s">
        <v>74</v>
      </c>
      <c r="J16" s="69"/>
      <c r="K16" s="72"/>
      <c r="L16" s="72"/>
      <c r="M16" s="74"/>
      <c r="N16" s="76"/>
      <c r="O16" s="1"/>
      <c r="P16" s="79"/>
      <c r="Q16" s="81"/>
      <c r="R16" s="27"/>
    </row>
    <row r="17">
      <c r="A17" s="27"/>
      <c r="B17" s="147" t="s">
        <v>60</v>
      </c>
      <c r="C17" s="32"/>
      <c r="D17" s="32"/>
      <c r="E17" s="32"/>
      <c r="F17" s="35"/>
      <c r="G17" s="1"/>
      <c r="H17" s="149"/>
      <c r="I17" s="149" t="s">
        <v>78</v>
      </c>
      <c r="J17" s="69"/>
      <c r="K17" s="72"/>
      <c r="L17" s="72"/>
      <c r="M17" s="74"/>
      <c r="N17" s="76"/>
      <c r="O17" s="1"/>
      <c r="P17" s="79"/>
      <c r="Q17" s="81"/>
      <c r="R17" s="27"/>
    </row>
    <row r="18">
      <c r="A18" s="27"/>
      <c r="B18" s="151" t="s">
        <v>49</v>
      </c>
      <c r="C18" s="32"/>
      <c r="D18" s="32"/>
      <c r="E18" s="32"/>
      <c r="F18" s="35"/>
      <c r="G18" s="1"/>
      <c r="H18" s="152"/>
      <c r="I18" s="152" t="s">
        <v>32</v>
      </c>
      <c r="J18" s="69"/>
      <c r="K18" s="72"/>
      <c r="L18" s="72"/>
      <c r="M18" s="74"/>
      <c r="N18" s="76"/>
      <c r="O18" s="1"/>
      <c r="P18" s="79"/>
      <c r="Q18" s="81"/>
      <c r="R18" s="27"/>
    </row>
    <row r="19">
      <c r="A19" s="27"/>
      <c r="B19" s="153" t="s">
        <v>68</v>
      </c>
      <c r="C19" s="32"/>
      <c r="D19" s="32"/>
      <c r="E19" s="32"/>
      <c r="F19" s="35"/>
      <c r="G19" s="1"/>
      <c r="H19" s="155"/>
      <c r="I19" s="155" t="s">
        <v>42</v>
      </c>
      <c r="J19" s="69"/>
      <c r="K19" s="72"/>
      <c r="L19" s="72"/>
      <c r="M19" s="74"/>
      <c r="N19" s="76"/>
      <c r="O19" s="1"/>
      <c r="P19" s="79"/>
      <c r="Q19" s="81"/>
      <c r="R19" s="27"/>
    </row>
    <row r="20">
      <c r="A20" s="27"/>
      <c r="B20" s="166" t="s">
        <v>21</v>
      </c>
      <c r="C20" s="32"/>
      <c r="D20" s="32"/>
      <c r="E20" s="32"/>
      <c r="F20" s="35"/>
      <c r="G20" s="1"/>
      <c r="H20" s="172"/>
      <c r="I20" s="172" t="s">
        <v>61</v>
      </c>
      <c r="J20" s="69"/>
      <c r="K20" s="72"/>
      <c r="L20" s="72"/>
      <c r="M20" s="74"/>
      <c r="N20" s="76"/>
      <c r="O20" s="1"/>
      <c r="P20" s="79"/>
      <c r="Q20" s="81"/>
      <c r="R20" s="27"/>
    </row>
    <row r="21">
      <c r="A21" s="27"/>
      <c r="B21" s="170" t="s">
        <v>57</v>
      </c>
      <c r="C21" s="32"/>
      <c r="D21" s="32"/>
      <c r="E21" s="32"/>
      <c r="F21" s="35"/>
      <c r="G21" s="1"/>
      <c r="H21" s="184"/>
      <c r="I21" s="184" t="s">
        <v>58</v>
      </c>
      <c r="J21" s="69"/>
      <c r="K21" s="72"/>
      <c r="L21" s="72"/>
      <c r="M21" s="74"/>
      <c r="N21" s="76"/>
      <c r="O21" s="1"/>
      <c r="P21" s="79"/>
      <c r="Q21" s="81"/>
      <c r="R21" s="27"/>
    </row>
    <row r="22">
      <c r="A22" s="27"/>
      <c r="B22" s="173" t="s">
        <v>78</v>
      </c>
      <c r="C22" s="32"/>
      <c r="D22" s="32"/>
      <c r="E22" s="32"/>
      <c r="F22" s="35"/>
      <c r="G22" s="1"/>
      <c r="H22" s="190"/>
      <c r="I22" s="190" t="s">
        <v>13</v>
      </c>
      <c r="J22" s="69"/>
      <c r="K22" s="72"/>
      <c r="L22" s="72"/>
      <c r="M22" s="74"/>
      <c r="N22" s="76"/>
      <c r="O22" s="1"/>
      <c r="P22" s="79"/>
      <c r="Q22" s="117"/>
      <c r="R22" s="27"/>
    </row>
    <row r="23">
      <c r="A23" s="27"/>
      <c r="B23" s="181" t="s">
        <v>74</v>
      </c>
      <c r="C23" s="32"/>
      <c r="D23" s="32"/>
      <c r="E23" s="32"/>
      <c r="F23" s="35"/>
      <c r="G23" s="1"/>
      <c r="H23" s="195"/>
      <c r="I23" s="195" t="s">
        <v>29</v>
      </c>
      <c r="J23" s="69"/>
      <c r="K23" s="72"/>
      <c r="L23" s="72"/>
      <c r="M23" s="74"/>
      <c r="N23" s="76"/>
      <c r="O23" s="1"/>
      <c r="P23" s="79"/>
      <c r="Q23" s="81"/>
      <c r="R23" s="27"/>
    </row>
    <row r="24">
      <c r="A24" s="27"/>
      <c r="B24" s="187" t="s">
        <v>22</v>
      </c>
      <c r="C24" s="32"/>
      <c r="D24" s="32"/>
      <c r="E24" s="32"/>
      <c r="F24" s="35"/>
      <c r="G24" s="1"/>
      <c r="H24" s="220"/>
      <c r="I24" s="220" t="s">
        <v>68</v>
      </c>
      <c r="J24" s="69"/>
      <c r="K24" s="72"/>
      <c r="L24" s="72"/>
      <c r="M24" s="74"/>
      <c r="N24" s="76"/>
      <c r="O24" s="1"/>
      <c r="P24" s="79"/>
      <c r="Q24" s="81"/>
      <c r="R24" s="27"/>
    </row>
    <row r="25">
      <c r="A25" s="27"/>
      <c r="B25" s="193" t="s">
        <v>50</v>
      </c>
      <c r="C25" s="32"/>
      <c r="D25" s="32"/>
      <c r="E25" s="32"/>
      <c r="F25" s="35"/>
      <c r="G25" s="1"/>
      <c r="H25" s="229"/>
      <c r="I25" s="229" t="s">
        <v>22</v>
      </c>
      <c r="J25" s="69"/>
      <c r="K25" s="72"/>
      <c r="L25" s="72"/>
      <c r="M25" s="74"/>
      <c r="N25" s="76"/>
      <c r="O25" s="1"/>
      <c r="P25" s="79"/>
      <c r="Q25" s="81"/>
      <c r="R25" s="27"/>
    </row>
    <row r="26">
      <c r="A26" s="27"/>
      <c r="B26" s="197" t="s">
        <v>85</v>
      </c>
      <c r="C26" s="32"/>
      <c r="D26" s="32"/>
      <c r="E26" s="32"/>
      <c r="F26" s="35"/>
      <c r="G26" s="1"/>
      <c r="H26" s="237"/>
      <c r="I26" s="237" t="s">
        <v>66</v>
      </c>
      <c r="J26" s="69"/>
      <c r="K26" s="72"/>
      <c r="L26" s="72"/>
      <c r="M26" s="74"/>
      <c r="N26" s="76"/>
      <c r="O26" s="1"/>
      <c r="P26" s="79"/>
      <c r="Q26" s="81"/>
      <c r="R26" s="27"/>
    </row>
    <row r="27">
      <c r="A27" s="27"/>
      <c r="B27" s="199" t="s">
        <v>63</v>
      </c>
      <c r="C27" s="32"/>
      <c r="D27" s="32"/>
      <c r="E27" s="32"/>
      <c r="F27" s="35"/>
      <c r="G27" s="1"/>
      <c r="H27" s="244"/>
      <c r="I27" s="244" t="s">
        <v>85</v>
      </c>
      <c r="J27" s="69"/>
      <c r="K27" s="72"/>
      <c r="L27" s="72"/>
      <c r="M27" s="74"/>
      <c r="N27" s="76"/>
      <c r="O27" s="1"/>
      <c r="P27" s="79"/>
      <c r="Q27" s="117"/>
      <c r="R27" s="27"/>
    </row>
    <row r="28">
      <c r="A28" s="27"/>
      <c r="B28" s="201" t="s">
        <v>46</v>
      </c>
      <c r="C28" s="203"/>
      <c r="D28" s="203"/>
      <c r="E28" s="203"/>
      <c r="F28" s="204"/>
      <c r="G28" s="1"/>
      <c r="H28" s="253"/>
      <c r="I28" s="253" t="s">
        <v>50</v>
      </c>
      <c r="J28" s="255"/>
      <c r="K28" s="258"/>
      <c r="L28" s="258"/>
      <c r="M28" s="260"/>
      <c r="N28" s="262"/>
      <c r="O28" s="52"/>
      <c r="P28" s="266"/>
      <c r="Q28" s="268"/>
      <c r="R28" s="27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213" t="s">
        <v>90</v>
      </c>
      <c r="D30" s="26"/>
      <c r="E30" s="26"/>
      <c r="F30" s="21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222" t="s">
        <v>93</v>
      </c>
      <c r="D31" s="224" t="s">
        <v>94</v>
      </c>
      <c r="E31" s="224" t="s">
        <v>93</v>
      </c>
      <c r="F31" s="278" t="s">
        <v>94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231"/>
      <c r="D32" s="233"/>
      <c r="E32" s="236"/>
      <c r="F32" s="28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231"/>
      <c r="D33" s="241"/>
      <c r="E33" s="246"/>
      <c r="F33" s="28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31"/>
      <c r="D34" s="251"/>
      <c r="E34" s="246"/>
      <c r="F34" s="287"/>
      <c r="G34" s="1"/>
      <c r="H34" s="175"/>
      <c r="I34" s="175"/>
      <c r="J34" s="175"/>
      <c r="K34" s="175"/>
      <c r="L34" s="175"/>
      <c r="M34" s="175"/>
      <c r="N34" s="175"/>
      <c r="O34" s="1"/>
      <c r="P34" s="1"/>
      <c r="Q34" s="1"/>
      <c r="R34" s="1"/>
    </row>
    <row r="35">
      <c r="A35" s="1"/>
      <c r="B35" s="1"/>
      <c r="C35" s="231"/>
      <c r="D35" s="251"/>
      <c r="E35" s="246"/>
      <c r="F35" s="287"/>
      <c r="G35" s="1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</row>
    <row r="36">
      <c r="A36" s="1"/>
      <c r="B36" s="1"/>
      <c r="C36" s="231"/>
      <c r="D36" s="251"/>
      <c r="E36" s="246"/>
      <c r="F36" s="287"/>
      <c r="G36" s="1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</row>
    <row r="37">
      <c r="A37" s="1"/>
      <c r="B37" s="1"/>
      <c r="C37" s="231"/>
      <c r="D37" s="251"/>
      <c r="E37" s="246"/>
      <c r="F37" s="287"/>
      <c r="G37" s="1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</row>
    <row r="38">
      <c r="A38" s="1"/>
      <c r="B38" s="1"/>
      <c r="C38" s="231"/>
      <c r="D38" s="251"/>
      <c r="E38" s="246"/>
      <c r="F38" s="287"/>
      <c r="G38" s="1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</row>
    <row r="39">
      <c r="A39" s="1"/>
      <c r="B39" s="1"/>
      <c r="C39" s="231"/>
      <c r="D39" s="251"/>
      <c r="E39" s="246"/>
      <c r="F39" s="287"/>
      <c r="G39" s="1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</row>
    <row r="40">
      <c r="A40" s="1"/>
      <c r="B40" s="1"/>
      <c r="C40" s="231"/>
      <c r="D40" s="251"/>
      <c r="E40" s="246"/>
      <c r="F40" s="280"/>
      <c r="G40" s="1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</row>
    <row r="41">
      <c r="A41" s="1"/>
      <c r="B41" s="1"/>
      <c r="C41" s="231"/>
      <c r="D41" s="251"/>
      <c r="E41" s="246"/>
      <c r="F41" s="287"/>
      <c r="G41" s="1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</row>
    <row r="42">
      <c r="A42" s="1"/>
      <c r="B42" s="1"/>
      <c r="C42" s="231"/>
      <c r="D42" s="251"/>
      <c r="E42" s="246"/>
      <c r="F42" s="287"/>
      <c r="G42" s="1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</row>
    <row r="43">
      <c r="A43" s="1"/>
      <c r="B43" s="1"/>
      <c r="C43" s="272"/>
      <c r="D43" s="274"/>
      <c r="E43" s="276"/>
      <c r="F43" s="326"/>
      <c r="G43" s="1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</row>
    <row r="44">
      <c r="A44" s="1"/>
      <c r="B44" s="1"/>
      <c r="C44" s="1"/>
      <c r="D44" s="1"/>
      <c r="E44" s="1"/>
      <c r="F44" s="1"/>
      <c r="G44" s="1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</row>
    <row r="45">
      <c r="A45" s="1"/>
      <c r="B45" s="1"/>
      <c r="C45" s="1"/>
      <c r="D45" s="1"/>
      <c r="E45" s="1"/>
      <c r="F45" s="1"/>
      <c r="G45" s="1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</row>
    <row r="46">
      <c r="A46" s="1"/>
      <c r="B46" s="1"/>
      <c r="C46" s="1"/>
      <c r="D46" s="1"/>
      <c r="E46" s="1"/>
      <c r="F46" s="1"/>
      <c r="G46" s="1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</row>
  </sheetData>
  <mergeCells count="3">
    <mergeCell ref="B2:Q3"/>
    <mergeCell ref="J5:L5"/>
    <mergeCell ref="C30:F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8AFF"/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6" width="10.25"/>
    <col customWidth="1" min="7" max="7" width="5.63"/>
    <col customWidth="1" min="8" max="8" width="3.88"/>
    <col customWidth="1" min="9" max="9" width="9.75"/>
    <col customWidth="1" min="10" max="13" width="3.88"/>
    <col customWidth="1" min="14" max="14" width="4.88"/>
    <col customWidth="1" min="15" max="15" width="8.0"/>
    <col customWidth="1" min="16" max="16" width="8.5"/>
    <col customWidth="1" min="17" max="17" width="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1" t="s">
        <v>3</v>
      </c>
      <c r="C5" s="13" t="s">
        <v>4</v>
      </c>
      <c r="D5" s="13" t="s">
        <v>5</v>
      </c>
      <c r="E5" s="13" t="s">
        <v>6</v>
      </c>
      <c r="F5" s="15" t="s">
        <v>7</v>
      </c>
      <c r="G5" s="1"/>
      <c r="H5" s="16" t="s">
        <v>8</v>
      </c>
      <c r="I5" s="18" t="s">
        <v>3</v>
      </c>
      <c r="J5" s="18" t="s">
        <v>10</v>
      </c>
      <c r="K5" s="20"/>
      <c r="L5" s="20"/>
      <c r="M5" s="21"/>
      <c r="N5" s="23" t="s">
        <v>11</v>
      </c>
      <c r="O5" s="1"/>
      <c r="P5" s="25" t="s">
        <v>3</v>
      </c>
      <c r="Q5" s="10" t="s">
        <v>12</v>
      </c>
      <c r="R5" s="1"/>
    </row>
    <row r="6">
      <c r="A6" s="27"/>
      <c r="B6" s="31" t="s">
        <v>14</v>
      </c>
      <c r="C6" s="34" t="s">
        <v>16</v>
      </c>
      <c r="D6" s="34" t="s">
        <v>17</v>
      </c>
      <c r="E6" s="34" t="s">
        <v>18</v>
      </c>
      <c r="F6" s="37" t="s">
        <v>19</v>
      </c>
      <c r="G6" s="1"/>
      <c r="H6" s="39">
        <v>1.0</v>
      </c>
      <c r="I6" s="42" t="s">
        <v>22</v>
      </c>
      <c r="J6" s="46">
        <v>3.0</v>
      </c>
      <c r="K6" s="48">
        <v>4.0</v>
      </c>
      <c r="L6" s="48">
        <v>7.0</v>
      </c>
      <c r="M6" s="53">
        <v>5.0</v>
      </c>
      <c r="N6" s="55">
        <v>19.0</v>
      </c>
      <c r="O6" s="52">
        <v>300.0</v>
      </c>
      <c r="P6" s="59" t="s">
        <v>14</v>
      </c>
      <c r="Q6" s="58"/>
      <c r="R6" s="27"/>
    </row>
    <row r="7">
      <c r="A7" s="27"/>
      <c r="B7" s="63" t="s">
        <v>32</v>
      </c>
      <c r="C7" s="91" t="s">
        <v>35</v>
      </c>
      <c r="D7" s="95" t="s">
        <v>48</v>
      </c>
      <c r="E7" s="97" t="s">
        <v>18</v>
      </c>
      <c r="F7" s="99" t="s">
        <v>15</v>
      </c>
      <c r="G7" s="1"/>
      <c r="H7" s="102">
        <v>2.0</v>
      </c>
      <c r="I7" s="104" t="s">
        <v>50</v>
      </c>
      <c r="J7" s="107">
        <v>1.0</v>
      </c>
      <c r="K7" s="108">
        <v>4.0</v>
      </c>
      <c r="L7" s="108">
        <v>10.0</v>
      </c>
      <c r="M7" s="116">
        <v>14.0</v>
      </c>
      <c r="N7" s="120" t="s">
        <v>62</v>
      </c>
      <c r="O7" s="52">
        <v>150.0</v>
      </c>
      <c r="P7" s="126" t="s">
        <v>32</v>
      </c>
      <c r="Q7" s="136" t="s">
        <v>40</v>
      </c>
      <c r="R7" s="27"/>
    </row>
    <row r="8">
      <c r="A8" s="27"/>
      <c r="B8" s="139" t="s">
        <v>68</v>
      </c>
      <c r="C8" s="91" t="s">
        <v>23</v>
      </c>
      <c r="D8" s="97" t="s">
        <v>69</v>
      </c>
      <c r="E8" s="97" t="s">
        <v>71</v>
      </c>
      <c r="F8" s="99" t="s">
        <v>15</v>
      </c>
      <c r="G8" s="1"/>
      <c r="H8" s="143">
        <v>3.0</v>
      </c>
      <c r="I8" s="150" t="s">
        <v>13</v>
      </c>
      <c r="J8" s="161">
        <v>1.0</v>
      </c>
      <c r="K8" s="163">
        <v>6.0</v>
      </c>
      <c r="L8" s="163">
        <v>10.0</v>
      </c>
      <c r="M8" s="165">
        <v>12.0</v>
      </c>
      <c r="N8" s="167" t="s">
        <v>81</v>
      </c>
      <c r="O8" s="52">
        <v>75.0</v>
      </c>
      <c r="P8" s="169" t="s">
        <v>68</v>
      </c>
      <c r="Q8" s="136" t="s">
        <v>40</v>
      </c>
      <c r="R8" s="27"/>
    </row>
    <row r="9">
      <c r="A9" s="27"/>
      <c r="B9" s="174" t="s">
        <v>84</v>
      </c>
      <c r="C9" s="91" t="s">
        <v>17</v>
      </c>
      <c r="D9" s="97" t="s">
        <v>69</v>
      </c>
      <c r="E9" s="97" t="s">
        <v>18</v>
      </c>
      <c r="F9" s="99" t="s">
        <v>19</v>
      </c>
      <c r="G9" s="1"/>
      <c r="H9" s="177">
        <v>4.0</v>
      </c>
      <c r="I9" s="179" t="s">
        <v>85</v>
      </c>
      <c r="J9" s="182">
        <v>1.0</v>
      </c>
      <c r="K9" s="185">
        <v>2.0</v>
      </c>
      <c r="L9" s="185">
        <v>10.0</v>
      </c>
      <c r="M9" s="188">
        <v>20.0</v>
      </c>
      <c r="N9" s="191">
        <v>33.0</v>
      </c>
      <c r="O9" s="1"/>
      <c r="P9" s="196" t="s">
        <v>84</v>
      </c>
      <c r="Q9" s="136" t="s">
        <v>40</v>
      </c>
      <c r="R9" s="27"/>
    </row>
    <row r="10">
      <c r="A10" s="27"/>
      <c r="B10" s="200" t="s">
        <v>46</v>
      </c>
      <c r="C10" s="91" t="s">
        <v>13</v>
      </c>
      <c r="D10" s="97" t="s">
        <v>69</v>
      </c>
      <c r="E10" s="97" t="s">
        <v>89</v>
      </c>
      <c r="F10" s="99" t="s">
        <v>19</v>
      </c>
      <c r="G10" s="1"/>
      <c r="H10" s="205">
        <v>5.0</v>
      </c>
      <c r="I10" s="207" t="s">
        <v>49</v>
      </c>
      <c r="J10" s="209">
        <v>3.0</v>
      </c>
      <c r="K10" s="211">
        <v>2.0</v>
      </c>
      <c r="L10" s="211">
        <v>10.0</v>
      </c>
      <c r="M10" s="214">
        <v>19.0</v>
      </c>
      <c r="N10" s="217">
        <v>34.0</v>
      </c>
      <c r="O10" s="1"/>
      <c r="P10" s="219" t="s">
        <v>46</v>
      </c>
      <c r="Q10" s="136" t="s">
        <v>40</v>
      </c>
      <c r="R10" s="27"/>
    </row>
    <row r="11">
      <c r="A11" s="27"/>
      <c r="B11" s="226" t="s">
        <v>85</v>
      </c>
      <c r="C11" s="228" t="s">
        <v>48</v>
      </c>
      <c r="D11" s="97" t="s">
        <v>23</v>
      </c>
      <c r="E11" s="97" t="s">
        <v>96</v>
      </c>
      <c r="F11" s="99" t="s">
        <v>15</v>
      </c>
      <c r="G11" s="1"/>
      <c r="H11" s="232">
        <v>6.0</v>
      </c>
      <c r="I11" s="235" t="s">
        <v>32</v>
      </c>
      <c r="J11" s="238">
        <v>3.0</v>
      </c>
      <c r="K11" s="240">
        <v>1.0</v>
      </c>
      <c r="L11" s="240">
        <v>16.0</v>
      </c>
      <c r="M11" s="243">
        <v>20.0</v>
      </c>
      <c r="N11" s="247">
        <v>40.0</v>
      </c>
      <c r="O11" s="1"/>
      <c r="P11" s="249" t="s">
        <v>85</v>
      </c>
      <c r="Q11" s="136" t="s">
        <v>40</v>
      </c>
      <c r="R11" s="27"/>
    </row>
    <row r="12">
      <c r="A12" s="27"/>
      <c r="B12" s="256" t="s">
        <v>74</v>
      </c>
      <c r="C12" s="91" t="s">
        <v>98</v>
      </c>
      <c r="D12" s="97" t="s">
        <v>89</v>
      </c>
      <c r="E12" s="97" t="s">
        <v>99</v>
      </c>
      <c r="F12" s="99" t="s">
        <v>100</v>
      </c>
      <c r="G12" s="1"/>
      <c r="H12" s="261">
        <v>7.0</v>
      </c>
      <c r="I12" s="263" t="s">
        <v>74</v>
      </c>
      <c r="J12" s="264">
        <v>12.0</v>
      </c>
      <c r="K12" s="265">
        <v>9.0</v>
      </c>
      <c r="L12" s="265">
        <v>15.0</v>
      </c>
      <c r="M12" s="267">
        <v>5.0</v>
      </c>
      <c r="N12" s="270">
        <v>41.0</v>
      </c>
      <c r="O12" s="1"/>
      <c r="P12" s="273" t="s">
        <v>74</v>
      </c>
      <c r="Q12" s="117"/>
      <c r="R12" s="27"/>
    </row>
    <row r="13">
      <c r="A13" s="27"/>
      <c r="B13" s="277" t="s">
        <v>42</v>
      </c>
      <c r="C13" s="91" t="s">
        <v>19</v>
      </c>
      <c r="D13" s="97" t="s">
        <v>98</v>
      </c>
      <c r="E13" s="97" t="s">
        <v>13</v>
      </c>
      <c r="F13" s="99" t="s">
        <v>102</v>
      </c>
      <c r="G13" s="1"/>
      <c r="H13" s="285">
        <v>8.0</v>
      </c>
      <c r="I13" s="288" t="s">
        <v>63</v>
      </c>
      <c r="J13" s="290">
        <v>3.0</v>
      </c>
      <c r="K13" s="292">
        <v>8.0</v>
      </c>
      <c r="L13" s="292">
        <v>15.0</v>
      </c>
      <c r="M13" s="294">
        <v>17.0</v>
      </c>
      <c r="N13" s="296" t="s">
        <v>103</v>
      </c>
      <c r="O13" s="1"/>
      <c r="P13" s="298" t="s">
        <v>42</v>
      </c>
      <c r="Q13" s="136" t="s">
        <v>40</v>
      </c>
      <c r="R13" s="27"/>
    </row>
    <row r="14">
      <c r="A14" s="27"/>
      <c r="B14" s="300" t="s">
        <v>22</v>
      </c>
      <c r="C14" s="91" t="s">
        <v>35</v>
      </c>
      <c r="D14" s="97" t="s">
        <v>16</v>
      </c>
      <c r="E14" s="97" t="s">
        <v>13</v>
      </c>
      <c r="F14" s="99" t="s">
        <v>100</v>
      </c>
      <c r="G14" s="1"/>
      <c r="H14" s="303">
        <v>9.0</v>
      </c>
      <c r="I14" s="305" t="s">
        <v>61</v>
      </c>
      <c r="J14" s="307">
        <v>11.0</v>
      </c>
      <c r="K14" s="309">
        <v>18.0</v>
      </c>
      <c r="L14" s="309">
        <v>9.0</v>
      </c>
      <c r="M14" s="311">
        <v>5.0</v>
      </c>
      <c r="N14" s="312" t="s">
        <v>104</v>
      </c>
      <c r="O14" s="1"/>
      <c r="P14" s="314" t="s">
        <v>22</v>
      </c>
      <c r="Q14" s="136" t="s">
        <v>40</v>
      </c>
      <c r="R14" s="27"/>
    </row>
    <row r="15">
      <c r="A15" s="27"/>
      <c r="B15" s="317" t="s">
        <v>58</v>
      </c>
      <c r="C15" s="91" t="s">
        <v>72</v>
      </c>
      <c r="D15" s="97" t="s">
        <v>18</v>
      </c>
      <c r="E15" s="97" t="s">
        <v>99</v>
      </c>
      <c r="F15" s="99" t="s">
        <v>100</v>
      </c>
      <c r="G15" s="1"/>
      <c r="H15" s="320">
        <v>10.0</v>
      </c>
      <c r="I15" s="322" t="s">
        <v>23</v>
      </c>
      <c r="J15" s="324">
        <v>6.0</v>
      </c>
      <c r="K15" s="325">
        <v>8.0</v>
      </c>
      <c r="L15" s="325">
        <v>19.0</v>
      </c>
      <c r="M15" s="327">
        <v>12.0</v>
      </c>
      <c r="N15" s="329">
        <v>45.0</v>
      </c>
      <c r="O15" s="1"/>
      <c r="P15" s="331" t="s">
        <v>58</v>
      </c>
      <c r="Q15" s="136" t="s">
        <v>40</v>
      </c>
      <c r="R15" s="27"/>
    </row>
    <row r="16">
      <c r="A16" s="27"/>
      <c r="B16" s="333" t="s">
        <v>13</v>
      </c>
      <c r="C16" s="228" t="s">
        <v>48</v>
      </c>
      <c r="D16" s="97" t="s">
        <v>17</v>
      </c>
      <c r="E16" s="97" t="s">
        <v>96</v>
      </c>
      <c r="F16" s="99" t="s">
        <v>71</v>
      </c>
      <c r="G16" s="1"/>
      <c r="H16" s="336">
        <v>11.0</v>
      </c>
      <c r="I16" s="337" t="s">
        <v>58</v>
      </c>
      <c r="J16" s="339">
        <v>11.0</v>
      </c>
      <c r="K16" s="341">
        <v>16.0</v>
      </c>
      <c r="L16" s="341">
        <v>15.0</v>
      </c>
      <c r="M16" s="343">
        <v>5.0</v>
      </c>
      <c r="N16" s="344">
        <v>47.0</v>
      </c>
      <c r="O16" s="1"/>
      <c r="P16" s="346" t="s">
        <v>13</v>
      </c>
      <c r="Q16" s="136" t="s">
        <v>40</v>
      </c>
      <c r="R16" s="27"/>
    </row>
    <row r="17">
      <c r="A17" s="27"/>
      <c r="B17" s="349" t="s">
        <v>61</v>
      </c>
      <c r="C17" s="91" t="s">
        <v>72</v>
      </c>
      <c r="D17" s="97" t="s">
        <v>69</v>
      </c>
      <c r="E17" s="97" t="s">
        <v>89</v>
      </c>
      <c r="F17" s="99" t="s">
        <v>105</v>
      </c>
      <c r="G17" s="1"/>
      <c r="H17" s="352">
        <v>12.0</v>
      </c>
      <c r="I17" s="354" t="s">
        <v>14</v>
      </c>
      <c r="J17" s="356">
        <v>4.0</v>
      </c>
      <c r="K17" s="358">
        <v>6.0</v>
      </c>
      <c r="L17" s="358">
        <v>16.0</v>
      </c>
      <c r="M17" s="359">
        <v>22.0</v>
      </c>
      <c r="N17" s="360" t="s">
        <v>106</v>
      </c>
      <c r="O17" s="1"/>
      <c r="P17" s="363" t="s">
        <v>61</v>
      </c>
      <c r="Q17" s="136" t="s">
        <v>40</v>
      </c>
      <c r="R17" s="27"/>
    </row>
    <row r="18">
      <c r="A18" s="27"/>
      <c r="B18" s="364" t="s">
        <v>63</v>
      </c>
      <c r="C18" s="91" t="s">
        <v>35</v>
      </c>
      <c r="D18" s="97" t="s">
        <v>107</v>
      </c>
      <c r="E18" s="97" t="s">
        <v>99</v>
      </c>
      <c r="F18" s="99" t="s">
        <v>108</v>
      </c>
      <c r="G18" s="1"/>
      <c r="H18" s="365">
        <v>13.0</v>
      </c>
      <c r="I18" s="367" t="s">
        <v>28</v>
      </c>
      <c r="J18" s="368">
        <v>11.0</v>
      </c>
      <c r="K18" s="370">
        <v>4.0</v>
      </c>
      <c r="L18" s="370">
        <v>19.0</v>
      </c>
      <c r="M18" s="371">
        <v>14.0</v>
      </c>
      <c r="N18" s="373" t="s">
        <v>109</v>
      </c>
      <c r="O18" s="1"/>
      <c r="P18" s="374" t="s">
        <v>63</v>
      </c>
      <c r="Q18" s="136" t="s">
        <v>40</v>
      </c>
      <c r="R18" s="27"/>
    </row>
    <row r="19">
      <c r="A19" s="27"/>
      <c r="B19" s="375" t="s">
        <v>70</v>
      </c>
      <c r="C19" s="91" t="s">
        <v>98</v>
      </c>
      <c r="D19" s="97" t="s">
        <v>13</v>
      </c>
      <c r="E19" s="97" t="s">
        <v>102</v>
      </c>
      <c r="F19" s="99" t="s">
        <v>108</v>
      </c>
      <c r="G19" s="1"/>
      <c r="H19" s="377">
        <v>14.0</v>
      </c>
      <c r="I19" s="379" t="s">
        <v>29</v>
      </c>
      <c r="J19" s="380">
        <v>8.0</v>
      </c>
      <c r="K19" s="382">
        <v>12.0</v>
      </c>
      <c r="L19" s="382">
        <v>14.0</v>
      </c>
      <c r="M19" s="383">
        <v>17.0</v>
      </c>
      <c r="N19" s="384">
        <v>51.0</v>
      </c>
      <c r="O19" s="1"/>
      <c r="P19" s="385" t="s">
        <v>70</v>
      </c>
      <c r="Q19" s="136" t="s">
        <v>40</v>
      </c>
      <c r="R19" s="27"/>
    </row>
    <row r="20">
      <c r="A20" s="27"/>
      <c r="B20" s="386" t="s">
        <v>49</v>
      </c>
      <c r="C20" s="91" t="s">
        <v>35</v>
      </c>
      <c r="D20" s="97" t="s">
        <v>23</v>
      </c>
      <c r="E20" s="97" t="s">
        <v>96</v>
      </c>
      <c r="F20" s="99" t="s">
        <v>110</v>
      </c>
      <c r="G20" s="1"/>
      <c r="H20" s="387">
        <v>15.0</v>
      </c>
      <c r="I20" s="388" t="s">
        <v>47</v>
      </c>
      <c r="J20" s="389">
        <v>2.0</v>
      </c>
      <c r="K20" s="390">
        <v>9.0</v>
      </c>
      <c r="L20" s="390">
        <v>21.0</v>
      </c>
      <c r="M20" s="391">
        <v>20.0</v>
      </c>
      <c r="N20" s="393" t="s">
        <v>112</v>
      </c>
      <c r="O20" s="1"/>
      <c r="P20" s="394" t="s">
        <v>49</v>
      </c>
      <c r="Q20" s="136" t="s">
        <v>40</v>
      </c>
      <c r="R20" s="27"/>
    </row>
    <row r="21">
      <c r="A21" s="27"/>
      <c r="B21" s="395" t="s">
        <v>50</v>
      </c>
      <c r="C21" s="228" t="s">
        <v>48</v>
      </c>
      <c r="D21" s="97" t="s">
        <v>16</v>
      </c>
      <c r="E21" s="97" t="s">
        <v>96</v>
      </c>
      <c r="F21" s="99" t="s">
        <v>113</v>
      </c>
      <c r="G21" s="1"/>
      <c r="H21" s="396">
        <v>16.0</v>
      </c>
      <c r="I21" s="397" t="s">
        <v>68</v>
      </c>
      <c r="J21" s="398">
        <v>2.0</v>
      </c>
      <c r="K21" s="399">
        <v>18.0</v>
      </c>
      <c r="L21" s="399">
        <v>12.0</v>
      </c>
      <c r="M21" s="400">
        <v>20.0</v>
      </c>
      <c r="N21" s="402" t="s">
        <v>114</v>
      </c>
      <c r="O21" s="1"/>
      <c r="P21" s="403" t="s">
        <v>50</v>
      </c>
      <c r="Q21" s="136" t="s">
        <v>40</v>
      </c>
      <c r="R21" s="27"/>
    </row>
    <row r="22">
      <c r="A22" s="27"/>
      <c r="B22" s="404" t="s">
        <v>115</v>
      </c>
      <c r="C22" s="91" t="s">
        <v>72</v>
      </c>
      <c r="D22" s="97" t="s">
        <v>110</v>
      </c>
      <c r="E22" s="97" t="s">
        <v>71</v>
      </c>
      <c r="F22" s="99" t="s">
        <v>113</v>
      </c>
      <c r="G22" s="1"/>
      <c r="H22" s="405">
        <v>17.0</v>
      </c>
      <c r="I22" s="406" t="s">
        <v>46</v>
      </c>
      <c r="J22" s="407">
        <v>7.0</v>
      </c>
      <c r="K22" s="408">
        <v>18.0</v>
      </c>
      <c r="L22" s="408">
        <v>9.0</v>
      </c>
      <c r="M22" s="409">
        <v>22.0</v>
      </c>
      <c r="N22" s="410" t="s">
        <v>116</v>
      </c>
      <c r="O22" s="1"/>
      <c r="P22" s="411" t="s">
        <v>115</v>
      </c>
      <c r="Q22" s="117"/>
      <c r="R22" s="27"/>
    </row>
    <row r="23">
      <c r="A23" s="27"/>
      <c r="B23" s="412" t="s">
        <v>28</v>
      </c>
      <c r="C23" s="91" t="s">
        <v>72</v>
      </c>
      <c r="D23" s="97" t="s">
        <v>16</v>
      </c>
      <c r="E23" s="97" t="s">
        <v>110</v>
      </c>
      <c r="F23" s="99" t="s">
        <v>113</v>
      </c>
      <c r="G23" s="1"/>
      <c r="H23" s="413">
        <v>18.0</v>
      </c>
      <c r="I23" s="414" t="s">
        <v>115</v>
      </c>
      <c r="J23" s="415">
        <v>11.0</v>
      </c>
      <c r="K23" s="416">
        <v>19.0</v>
      </c>
      <c r="L23" s="416">
        <v>12.0</v>
      </c>
      <c r="M23" s="417">
        <v>14.0</v>
      </c>
      <c r="N23" s="418" t="s">
        <v>117</v>
      </c>
      <c r="O23" s="1"/>
      <c r="P23" s="419" t="s">
        <v>28</v>
      </c>
      <c r="Q23" s="136" t="s">
        <v>40</v>
      </c>
      <c r="R23" s="27"/>
    </row>
    <row r="24">
      <c r="A24" s="27"/>
      <c r="B24" s="420" t="s">
        <v>36</v>
      </c>
      <c r="C24" s="91" t="s">
        <v>99</v>
      </c>
      <c r="D24" s="97" t="s">
        <v>107</v>
      </c>
      <c r="E24" s="97" t="s">
        <v>102</v>
      </c>
      <c r="F24" s="99" t="s">
        <v>108</v>
      </c>
      <c r="G24" s="1"/>
      <c r="H24" s="421">
        <v>19.0</v>
      </c>
      <c r="I24" s="422" t="s">
        <v>70</v>
      </c>
      <c r="J24" s="423">
        <v>12.0</v>
      </c>
      <c r="K24" s="424">
        <v>7.0</v>
      </c>
      <c r="L24" s="424">
        <v>21.0</v>
      </c>
      <c r="M24" s="425">
        <v>17.0</v>
      </c>
      <c r="N24" s="426">
        <v>57.0</v>
      </c>
      <c r="O24" s="1"/>
      <c r="P24" s="427" t="s">
        <v>36</v>
      </c>
      <c r="Q24" s="136" t="s">
        <v>40</v>
      </c>
      <c r="R24" s="27"/>
    </row>
    <row r="25">
      <c r="A25" s="27"/>
      <c r="B25" s="428" t="s">
        <v>47</v>
      </c>
      <c r="C25" s="91" t="s">
        <v>23</v>
      </c>
      <c r="D25" s="97" t="s">
        <v>89</v>
      </c>
      <c r="E25" s="97" t="s">
        <v>102</v>
      </c>
      <c r="F25" s="99" t="s">
        <v>15</v>
      </c>
      <c r="G25" s="1"/>
      <c r="H25" s="429">
        <v>20.0</v>
      </c>
      <c r="I25" s="430" t="s">
        <v>36</v>
      </c>
      <c r="J25" s="431">
        <v>15.0</v>
      </c>
      <c r="K25" s="432">
        <v>8.0</v>
      </c>
      <c r="L25" s="432">
        <v>21.0</v>
      </c>
      <c r="M25" s="433">
        <v>17.0</v>
      </c>
      <c r="N25" s="434">
        <f>53+8</f>
        <v>61</v>
      </c>
      <c r="O25" s="1"/>
      <c r="P25" s="435" t="s">
        <v>47</v>
      </c>
      <c r="Q25" s="136" t="s">
        <v>40</v>
      </c>
      <c r="R25" s="27"/>
    </row>
    <row r="26">
      <c r="A26" s="27"/>
      <c r="B26" s="436" t="s">
        <v>23</v>
      </c>
      <c r="C26" s="91" t="s">
        <v>17</v>
      </c>
      <c r="D26" s="97" t="s">
        <v>107</v>
      </c>
      <c r="E26" s="97" t="s">
        <v>110</v>
      </c>
      <c r="F26" s="99" t="s">
        <v>71</v>
      </c>
      <c r="G26" s="1"/>
      <c r="H26" s="437">
        <v>21.0</v>
      </c>
      <c r="I26" s="438" t="s">
        <v>84</v>
      </c>
      <c r="J26" s="439">
        <v>6.0</v>
      </c>
      <c r="K26" s="440">
        <v>18.0</v>
      </c>
      <c r="L26" s="440">
        <v>16.0</v>
      </c>
      <c r="M26" s="441">
        <v>22.0</v>
      </c>
      <c r="N26" s="442" t="s">
        <v>118</v>
      </c>
      <c r="O26" s="1"/>
      <c r="P26" s="443" t="s">
        <v>23</v>
      </c>
      <c r="Q26" s="117"/>
      <c r="R26" s="27"/>
    </row>
    <row r="27">
      <c r="A27" s="27"/>
      <c r="B27" s="444" t="s">
        <v>29</v>
      </c>
      <c r="C27" s="445" t="s">
        <v>107</v>
      </c>
      <c r="D27" s="445" t="s">
        <v>98</v>
      </c>
      <c r="E27" s="445" t="s">
        <v>113</v>
      </c>
      <c r="F27" s="446" t="s">
        <v>108</v>
      </c>
      <c r="G27" s="1"/>
      <c r="H27" s="447">
        <v>22.0</v>
      </c>
      <c r="I27" s="448" t="s">
        <v>42</v>
      </c>
      <c r="J27" s="449">
        <v>22.0</v>
      </c>
      <c r="K27" s="450">
        <v>12.0</v>
      </c>
      <c r="L27" s="450">
        <v>7.0</v>
      </c>
      <c r="M27" s="451">
        <v>21.0</v>
      </c>
      <c r="N27" s="452" t="s">
        <v>119</v>
      </c>
      <c r="O27" s="52">
        <v>25.0</v>
      </c>
      <c r="P27" s="453" t="s">
        <v>29</v>
      </c>
      <c r="Q27" s="454" t="s">
        <v>40</v>
      </c>
      <c r="R27" s="27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213" t="s">
        <v>90</v>
      </c>
      <c r="D29" s="26"/>
      <c r="E29" s="26"/>
      <c r="F29" s="21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222" t="s">
        <v>93</v>
      </c>
      <c r="D30" s="224" t="s">
        <v>94</v>
      </c>
      <c r="E30" s="224" t="s">
        <v>93</v>
      </c>
      <c r="F30" s="278" t="s">
        <v>94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231" t="s">
        <v>110</v>
      </c>
      <c r="D31" s="233">
        <v>19.0</v>
      </c>
      <c r="E31" s="236" t="s">
        <v>35</v>
      </c>
      <c r="F31" s="28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231" t="s">
        <v>48</v>
      </c>
      <c r="D32" s="241"/>
      <c r="E32" s="246" t="s">
        <v>23</v>
      </c>
      <c r="F32" s="28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231" t="s">
        <v>69</v>
      </c>
      <c r="D33" s="251">
        <v>18.0</v>
      </c>
      <c r="E33" s="246" t="s">
        <v>108</v>
      </c>
      <c r="F33" s="287">
        <v>17.0</v>
      </c>
      <c r="G33" s="1"/>
      <c r="H33" s="175"/>
      <c r="I33" s="175"/>
      <c r="J33" s="175"/>
      <c r="K33" s="175"/>
      <c r="L33" s="175"/>
      <c r="M33" s="175"/>
      <c r="N33" s="175"/>
      <c r="O33" s="1"/>
      <c r="P33" s="1"/>
      <c r="Q33" s="1"/>
      <c r="R33" s="1"/>
    </row>
    <row r="34">
      <c r="A34" s="1"/>
      <c r="B34" s="1"/>
      <c r="C34" s="231" t="s">
        <v>71</v>
      </c>
      <c r="D34" s="251">
        <v>12.0</v>
      </c>
      <c r="E34" s="246" t="s">
        <v>120</v>
      </c>
      <c r="F34" s="287">
        <v>23.0</v>
      </c>
      <c r="G34" s="1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</row>
    <row r="35">
      <c r="A35" s="1"/>
      <c r="B35" s="1"/>
      <c r="C35" s="231" t="s">
        <v>72</v>
      </c>
      <c r="D35" s="251">
        <v>11.0</v>
      </c>
      <c r="E35" s="246" t="s">
        <v>15</v>
      </c>
      <c r="F35" s="287">
        <v>20.0</v>
      </c>
      <c r="G35" s="1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</row>
    <row r="36">
      <c r="A36" s="1"/>
      <c r="B36" s="1"/>
      <c r="C36" s="231" t="s">
        <v>17</v>
      </c>
      <c r="D36" s="251">
        <v>6.0</v>
      </c>
      <c r="E36" s="246" t="s">
        <v>107</v>
      </c>
      <c r="F36" s="287">
        <v>8.0</v>
      </c>
      <c r="G36" s="1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</row>
    <row r="37">
      <c r="A37" s="1"/>
      <c r="B37" s="1"/>
      <c r="C37" s="231" t="s">
        <v>98</v>
      </c>
      <c r="D37" s="251">
        <v>12.0</v>
      </c>
      <c r="E37" s="246" t="s">
        <v>102</v>
      </c>
      <c r="F37" s="287">
        <v>21.0</v>
      </c>
      <c r="G37" s="1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</row>
    <row r="38">
      <c r="A38" s="1"/>
      <c r="B38" s="1"/>
      <c r="C38" s="231" t="s">
        <v>99</v>
      </c>
      <c r="D38" s="251">
        <v>15.0</v>
      </c>
      <c r="E38" s="246" t="s">
        <v>13</v>
      </c>
      <c r="F38" s="287">
        <v>7.0</v>
      </c>
      <c r="G38" s="1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</row>
    <row r="39">
      <c r="A39" s="1"/>
      <c r="B39" s="1"/>
      <c r="C39" s="231" t="s">
        <v>113</v>
      </c>
      <c r="D39" s="251">
        <v>14.0</v>
      </c>
      <c r="E39" s="246" t="s">
        <v>16</v>
      </c>
      <c r="F39" s="280"/>
      <c r="G39" s="1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</row>
    <row r="40">
      <c r="A40" s="1"/>
      <c r="B40" s="1"/>
      <c r="C40" s="231" t="s">
        <v>89</v>
      </c>
      <c r="D40" s="251">
        <v>9.0</v>
      </c>
      <c r="E40" s="246" t="s">
        <v>19</v>
      </c>
      <c r="F40" s="287">
        <v>22.0</v>
      </c>
      <c r="G40" s="1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</row>
    <row r="41">
      <c r="A41" s="1"/>
      <c r="B41" s="1"/>
      <c r="C41" s="231" t="s">
        <v>18</v>
      </c>
      <c r="D41" s="251">
        <v>16.0</v>
      </c>
      <c r="E41" s="246" t="s">
        <v>96</v>
      </c>
      <c r="F41" s="287">
        <v>10.0</v>
      </c>
      <c r="G41" s="1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</row>
    <row r="42">
      <c r="A42" s="1"/>
      <c r="B42" s="1"/>
      <c r="C42" s="272" t="s">
        <v>46</v>
      </c>
      <c r="D42" s="274">
        <v>24.0</v>
      </c>
      <c r="E42" s="276" t="s">
        <v>100</v>
      </c>
      <c r="F42" s="326">
        <v>5.0</v>
      </c>
      <c r="G42" s="1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</row>
    <row r="43">
      <c r="A43" s="1"/>
      <c r="B43" s="1"/>
      <c r="C43" s="1"/>
      <c r="D43" s="1"/>
      <c r="E43" s="1"/>
      <c r="F43" s="1"/>
      <c r="G43" s="1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</row>
    <row r="44">
      <c r="A44" s="1"/>
      <c r="B44" s="1"/>
      <c r="C44" s="1"/>
      <c r="D44" s="1"/>
      <c r="E44" s="1"/>
      <c r="F44" s="1"/>
      <c r="G44" s="1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</row>
    <row r="45">
      <c r="A45" s="1"/>
      <c r="B45" s="1"/>
      <c r="C45" s="1"/>
      <c r="D45" s="1"/>
      <c r="E45" s="1"/>
      <c r="F45" s="1"/>
      <c r="G45" s="1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</row>
  </sheetData>
  <mergeCells count="3">
    <mergeCell ref="B2:Q3"/>
    <mergeCell ref="J5:L5"/>
    <mergeCell ref="C29:F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C1FF"/>
    <outlinePr summaryBelow="0" summaryRight="0"/>
  </sheetPr>
  <sheetViews>
    <sheetView workbookViewId="0"/>
  </sheetViews>
  <sheetFormatPr customHeight="1" defaultColWidth="12.63" defaultRowHeight="15.75"/>
  <cols>
    <col customWidth="1" min="2" max="6" width="8.75"/>
    <col customWidth="1" min="7" max="7" width="5.38"/>
    <col customWidth="1" min="8" max="8" width="3.25"/>
    <col customWidth="1" min="9" max="9" width="9.75"/>
    <col customWidth="1" min="10" max="13" width="3.75"/>
    <col customWidth="1" min="14" max="15" width="4.8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2"/>
      <c r="P2" s="2"/>
    </row>
    <row r="3">
      <c r="A3" s="2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9"/>
      <c r="P3" s="2"/>
    </row>
    <row r="4">
      <c r="A4" s="2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2"/>
    </row>
    <row r="5">
      <c r="A5" s="2"/>
      <c r="B5" s="11" t="s">
        <v>3</v>
      </c>
      <c r="C5" s="13" t="s">
        <v>4</v>
      </c>
      <c r="D5" s="13" t="s">
        <v>5</v>
      </c>
      <c r="E5" s="13" t="s">
        <v>6</v>
      </c>
      <c r="F5" s="15" t="s">
        <v>7</v>
      </c>
      <c r="G5" s="17"/>
      <c r="H5" s="19" t="s">
        <v>8</v>
      </c>
      <c r="I5" s="13" t="s">
        <v>3</v>
      </c>
      <c r="J5" s="24" t="s">
        <v>10</v>
      </c>
      <c r="K5" s="26"/>
      <c r="L5" s="26"/>
      <c r="M5" s="28"/>
      <c r="N5" s="33" t="s">
        <v>11</v>
      </c>
      <c r="O5" s="36"/>
      <c r="P5" s="40" t="s">
        <v>20</v>
      </c>
    </row>
    <row r="6">
      <c r="A6" s="2"/>
      <c r="B6" s="44" t="s">
        <v>23</v>
      </c>
      <c r="C6" s="47" t="s">
        <v>24</v>
      </c>
      <c r="D6" s="47" t="s">
        <v>25</v>
      </c>
      <c r="E6" s="47" t="s">
        <v>26</v>
      </c>
      <c r="F6" s="49" t="s">
        <v>27</v>
      </c>
      <c r="G6" s="51"/>
      <c r="H6" s="57">
        <v>1.0</v>
      </c>
      <c r="I6" s="60" t="s">
        <v>28</v>
      </c>
      <c r="J6" s="62">
        <v>2.0</v>
      </c>
      <c r="K6" s="64">
        <v>10.0</v>
      </c>
      <c r="L6" s="64">
        <v>6.0</v>
      </c>
      <c r="M6" s="64">
        <v>7.0</v>
      </c>
      <c r="N6" s="67">
        <v>25.0</v>
      </c>
      <c r="O6" s="70"/>
      <c r="P6" s="73">
        <v>260.0</v>
      </c>
    </row>
    <row r="7">
      <c r="A7" s="9"/>
      <c r="B7" s="77" t="s">
        <v>38</v>
      </c>
      <c r="C7" s="80" t="s">
        <v>39</v>
      </c>
      <c r="D7" s="82" t="s">
        <v>41</v>
      </c>
      <c r="E7" s="82" t="s">
        <v>43</v>
      </c>
      <c r="F7" s="84" t="s">
        <v>45</v>
      </c>
      <c r="G7" s="51"/>
      <c r="H7" s="87">
        <v>2.0</v>
      </c>
      <c r="I7" s="89" t="s">
        <v>13</v>
      </c>
      <c r="J7" s="90">
        <v>2.0</v>
      </c>
      <c r="K7" s="92">
        <v>8.0</v>
      </c>
      <c r="L7" s="92">
        <v>12.0</v>
      </c>
      <c r="M7" s="92">
        <v>5.0</v>
      </c>
      <c r="N7" s="94">
        <v>27.0</v>
      </c>
      <c r="O7" s="70"/>
      <c r="P7" s="73">
        <v>125.0</v>
      </c>
    </row>
    <row r="8">
      <c r="A8" s="9"/>
      <c r="B8" s="96" t="s">
        <v>50</v>
      </c>
      <c r="C8" s="80" t="s">
        <v>51</v>
      </c>
      <c r="D8" s="82" t="s">
        <v>52</v>
      </c>
      <c r="E8" s="82" t="s">
        <v>53</v>
      </c>
      <c r="F8" s="84" t="s">
        <v>27</v>
      </c>
      <c r="G8" s="51"/>
      <c r="H8" s="98">
        <v>3.0</v>
      </c>
      <c r="I8" s="100" t="s">
        <v>36</v>
      </c>
      <c r="J8" s="113">
        <v>10.0</v>
      </c>
      <c r="K8" s="115">
        <v>9.0</v>
      </c>
      <c r="L8" s="115">
        <v>3.0</v>
      </c>
      <c r="M8" s="115">
        <v>7.0</v>
      </c>
      <c r="N8" s="118">
        <v>29.0</v>
      </c>
      <c r="O8" s="70"/>
      <c r="P8" s="73">
        <v>65.0</v>
      </c>
    </row>
    <row r="9">
      <c r="A9" s="9"/>
      <c r="B9" s="124" t="s">
        <v>14</v>
      </c>
      <c r="C9" s="80" t="s">
        <v>24</v>
      </c>
      <c r="D9" s="82" t="s">
        <v>41</v>
      </c>
      <c r="E9" s="82" t="s">
        <v>26</v>
      </c>
      <c r="F9" s="84" t="s">
        <v>45</v>
      </c>
      <c r="G9" s="51"/>
      <c r="H9" s="44">
        <v>4.0</v>
      </c>
      <c r="I9" s="130" t="s">
        <v>23</v>
      </c>
      <c r="J9" s="132">
        <v>2.0</v>
      </c>
      <c r="K9" s="132">
        <v>14.0</v>
      </c>
      <c r="L9" s="132">
        <v>11.0</v>
      </c>
      <c r="M9" s="132">
        <v>5.0</v>
      </c>
      <c r="N9" s="134">
        <v>32.0</v>
      </c>
      <c r="O9" s="70"/>
      <c r="P9" s="135"/>
    </row>
    <row r="10">
      <c r="A10" s="9"/>
      <c r="B10" s="141" t="s">
        <v>22</v>
      </c>
      <c r="C10" s="80" t="s">
        <v>26</v>
      </c>
      <c r="D10" s="82" t="s">
        <v>53</v>
      </c>
      <c r="E10" s="82" t="s">
        <v>43</v>
      </c>
      <c r="F10" s="84" t="s">
        <v>27</v>
      </c>
      <c r="G10" s="51"/>
      <c r="H10" s="145">
        <v>5.0</v>
      </c>
      <c r="I10" s="146" t="s">
        <v>50</v>
      </c>
      <c r="J10" s="148">
        <v>13.0</v>
      </c>
      <c r="K10" s="160">
        <v>9.0</v>
      </c>
      <c r="L10" s="160">
        <v>6.0</v>
      </c>
      <c r="M10" s="160">
        <v>5.0</v>
      </c>
      <c r="N10" s="162">
        <v>33.0</v>
      </c>
      <c r="O10" s="70"/>
      <c r="P10" s="135"/>
    </row>
    <row r="11">
      <c r="A11" s="9"/>
      <c r="B11" s="164" t="s">
        <v>70</v>
      </c>
      <c r="C11" s="80" t="s">
        <v>25</v>
      </c>
      <c r="D11" s="82" t="s">
        <v>41</v>
      </c>
      <c r="E11" s="82" t="s">
        <v>43</v>
      </c>
      <c r="F11" s="84" t="s">
        <v>82</v>
      </c>
      <c r="G11" s="51"/>
      <c r="H11" s="168">
        <v>6.0</v>
      </c>
      <c r="I11" s="171" t="s">
        <v>83</v>
      </c>
      <c r="J11" s="176">
        <v>16.0</v>
      </c>
      <c r="K11" s="178">
        <v>8.0</v>
      </c>
      <c r="L11" s="178">
        <v>3.0</v>
      </c>
      <c r="M11" s="178">
        <v>7.0</v>
      </c>
      <c r="N11" s="180" t="s">
        <v>86</v>
      </c>
      <c r="O11" s="70"/>
      <c r="P11" s="135"/>
    </row>
    <row r="12">
      <c r="A12" s="9"/>
      <c r="B12" s="183" t="s">
        <v>84</v>
      </c>
      <c r="C12" s="80" t="s">
        <v>39</v>
      </c>
      <c r="D12" s="82" t="s">
        <v>26</v>
      </c>
      <c r="E12" s="82" t="s">
        <v>25</v>
      </c>
      <c r="F12" s="84" t="s">
        <v>87</v>
      </c>
      <c r="G12" s="51"/>
      <c r="H12" s="186">
        <v>7.0</v>
      </c>
      <c r="I12" s="189" t="s">
        <v>22</v>
      </c>
      <c r="J12" s="192">
        <v>11.0</v>
      </c>
      <c r="K12" s="194">
        <v>6.0</v>
      </c>
      <c r="L12" s="194">
        <v>12.0</v>
      </c>
      <c r="M12" s="194">
        <v>5.0</v>
      </c>
      <c r="N12" s="198" t="s">
        <v>88</v>
      </c>
      <c r="O12" s="70"/>
      <c r="P12" s="135"/>
    </row>
    <row r="13">
      <c r="A13" s="9"/>
      <c r="B13" s="202" t="s">
        <v>63</v>
      </c>
      <c r="C13" s="80" t="s">
        <v>52</v>
      </c>
      <c r="D13" s="82" t="s">
        <v>51</v>
      </c>
      <c r="E13" s="82" t="s">
        <v>25</v>
      </c>
      <c r="F13" s="84" t="s">
        <v>82</v>
      </c>
      <c r="G13" s="51"/>
      <c r="H13" s="206">
        <v>8.0</v>
      </c>
      <c r="I13" s="208" t="s">
        <v>70</v>
      </c>
      <c r="J13" s="210">
        <v>14.0</v>
      </c>
      <c r="K13" s="212">
        <v>8.0</v>
      </c>
      <c r="L13" s="212">
        <v>12.0</v>
      </c>
      <c r="M13" s="212">
        <v>3.0</v>
      </c>
      <c r="N13" s="215">
        <v>37.0</v>
      </c>
      <c r="O13" s="70"/>
      <c r="P13" s="135"/>
    </row>
    <row r="14">
      <c r="A14" s="9"/>
      <c r="B14" s="218" t="s">
        <v>91</v>
      </c>
      <c r="C14" s="80" t="s">
        <v>51</v>
      </c>
      <c r="D14" s="82" t="s">
        <v>39</v>
      </c>
      <c r="E14" s="82" t="s">
        <v>92</v>
      </c>
      <c r="F14" s="84" t="s">
        <v>87</v>
      </c>
      <c r="G14" s="51"/>
      <c r="H14" s="221">
        <v>9.0</v>
      </c>
      <c r="I14" s="223" t="s">
        <v>14</v>
      </c>
      <c r="J14" s="225">
        <v>2.0</v>
      </c>
      <c r="K14" s="227">
        <v>8.0</v>
      </c>
      <c r="L14" s="227">
        <v>11.0</v>
      </c>
      <c r="M14" s="227">
        <v>17.0</v>
      </c>
      <c r="N14" s="230" t="s">
        <v>95</v>
      </c>
      <c r="O14" s="70"/>
      <c r="P14" s="135"/>
    </row>
    <row r="15">
      <c r="A15" s="9"/>
      <c r="B15" s="234" t="s">
        <v>13</v>
      </c>
      <c r="C15" s="80" t="s">
        <v>24</v>
      </c>
      <c r="D15" s="82" t="s">
        <v>41</v>
      </c>
      <c r="E15" s="82" t="s">
        <v>43</v>
      </c>
      <c r="F15" s="84" t="s">
        <v>27</v>
      </c>
      <c r="G15" s="51"/>
      <c r="H15" s="239">
        <v>10.0</v>
      </c>
      <c r="I15" s="242" t="s">
        <v>89</v>
      </c>
      <c r="J15" s="245">
        <v>16.0</v>
      </c>
      <c r="K15" s="248">
        <v>9.0</v>
      </c>
      <c r="L15" s="248">
        <v>6.0</v>
      </c>
      <c r="M15" s="248">
        <v>7.0</v>
      </c>
      <c r="N15" s="250" t="s">
        <v>97</v>
      </c>
      <c r="O15" s="70"/>
      <c r="P15" s="135"/>
    </row>
    <row r="16">
      <c r="A16" s="9"/>
      <c r="B16" s="252" t="s">
        <v>74</v>
      </c>
      <c r="C16" s="80" t="s">
        <v>24</v>
      </c>
      <c r="D16" s="82" t="s">
        <v>25</v>
      </c>
      <c r="E16" s="82" t="s">
        <v>43</v>
      </c>
      <c r="F16" s="84" t="s">
        <v>87</v>
      </c>
      <c r="G16" s="51"/>
      <c r="H16" s="254">
        <v>11.0</v>
      </c>
      <c r="I16" s="257" t="s">
        <v>63</v>
      </c>
      <c r="J16" s="259">
        <v>9.0</v>
      </c>
      <c r="K16" s="269">
        <v>13.0</v>
      </c>
      <c r="L16" s="269">
        <v>14.0</v>
      </c>
      <c r="M16" s="269">
        <v>3.0</v>
      </c>
      <c r="N16" s="271">
        <v>39.0</v>
      </c>
      <c r="O16" s="70"/>
      <c r="P16" s="135"/>
    </row>
    <row r="17">
      <c r="A17" s="9"/>
      <c r="B17" s="275" t="s">
        <v>83</v>
      </c>
      <c r="C17" s="80" t="s">
        <v>101</v>
      </c>
      <c r="D17" s="82" t="s">
        <v>41</v>
      </c>
      <c r="E17" s="82" t="s">
        <v>82</v>
      </c>
      <c r="F17" s="84" t="s">
        <v>92</v>
      </c>
      <c r="G17" s="51"/>
      <c r="H17" s="279">
        <v>12.0</v>
      </c>
      <c r="I17" s="281" t="s">
        <v>49</v>
      </c>
      <c r="J17" s="282">
        <v>16.0</v>
      </c>
      <c r="K17" s="283">
        <v>9.0</v>
      </c>
      <c r="L17" s="283">
        <v>13.0</v>
      </c>
      <c r="M17" s="283">
        <v>3.0</v>
      </c>
      <c r="N17" s="284">
        <v>41.0</v>
      </c>
      <c r="O17" s="70"/>
      <c r="P17" s="135"/>
    </row>
    <row r="18">
      <c r="A18" s="9"/>
      <c r="B18" s="286" t="s">
        <v>36</v>
      </c>
      <c r="C18" s="80" t="s">
        <v>39</v>
      </c>
      <c r="D18" s="82" t="s">
        <v>52</v>
      </c>
      <c r="E18" s="82" t="s">
        <v>82</v>
      </c>
      <c r="F18" s="84" t="s">
        <v>92</v>
      </c>
      <c r="G18" s="51"/>
      <c r="H18" s="289">
        <v>13.0</v>
      </c>
      <c r="I18" s="291" t="s">
        <v>74</v>
      </c>
      <c r="J18" s="293">
        <v>2.0</v>
      </c>
      <c r="K18" s="295">
        <v>14.0</v>
      </c>
      <c r="L18" s="295">
        <v>12.0</v>
      </c>
      <c r="M18" s="295">
        <v>15.0</v>
      </c>
      <c r="N18" s="297">
        <v>43.0</v>
      </c>
      <c r="O18" s="70"/>
      <c r="P18" s="135"/>
    </row>
    <row r="19">
      <c r="A19" s="9"/>
      <c r="B19" s="299" t="s">
        <v>49</v>
      </c>
      <c r="C19" s="80" t="s">
        <v>101</v>
      </c>
      <c r="D19" s="82" t="s">
        <v>52</v>
      </c>
      <c r="E19" s="82" t="s">
        <v>51</v>
      </c>
      <c r="F19" s="84" t="s">
        <v>82</v>
      </c>
      <c r="G19" s="51"/>
      <c r="H19" s="301">
        <v>14.0</v>
      </c>
      <c r="I19" s="302" t="s">
        <v>91</v>
      </c>
      <c r="J19" s="304">
        <v>13.0</v>
      </c>
      <c r="K19" s="306">
        <v>10.0</v>
      </c>
      <c r="L19" s="306">
        <v>7.0</v>
      </c>
      <c r="M19" s="306">
        <v>15.0</v>
      </c>
      <c r="N19" s="308">
        <v>45.0</v>
      </c>
      <c r="O19" s="70"/>
      <c r="P19" s="135"/>
    </row>
    <row r="20">
      <c r="A20" s="9"/>
      <c r="B20" s="310" t="s">
        <v>28</v>
      </c>
      <c r="C20" s="80" t="s">
        <v>24</v>
      </c>
      <c r="D20" s="82" t="s">
        <v>39</v>
      </c>
      <c r="E20" s="82" t="s">
        <v>53</v>
      </c>
      <c r="F20" s="84" t="s">
        <v>92</v>
      </c>
      <c r="G20" s="51"/>
      <c r="H20" s="313">
        <v>15.0</v>
      </c>
      <c r="I20" s="315" t="s">
        <v>38</v>
      </c>
      <c r="J20" s="316">
        <v>10.0</v>
      </c>
      <c r="K20" s="318">
        <v>8.0</v>
      </c>
      <c r="L20" s="318">
        <v>12.0</v>
      </c>
      <c r="M20" s="318">
        <v>17.0</v>
      </c>
      <c r="N20" s="319">
        <v>47.0</v>
      </c>
      <c r="O20" s="70"/>
      <c r="P20" s="135"/>
    </row>
    <row r="21">
      <c r="A21" s="9"/>
      <c r="B21" s="321" t="s">
        <v>89</v>
      </c>
      <c r="C21" s="80" t="s">
        <v>101</v>
      </c>
      <c r="D21" s="82" t="s">
        <v>52</v>
      </c>
      <c r="E21" s="82" t="s">
        <v>53</v>
      </c>
      <c r="F21" s="84" t="s">
        <v>92</v>
      </c>
      <c r="G21" s="51"/>
      <c r="H21" s="323">
        <v>16.0</v>
      </c>
      <c r="I21" s="328" t="s">
        <v>85</v>
      </c>
      <c r="J21" s="330">
        <v>11.0</v>
      </c>
      <c r="K21" s="332">
        <v>16.0</v>
      </c>
      <c r="L21" s="332">
        <v>6.0</v>
      </c>
      <c r="M21" s="332">
        <v>15.0</v>
      </c>
      <c r="N21" s="334">
        <v>48.0</v>
      </c>
      <c r="O21" s="70"/>
      <c r="P21" s="135"/>
    </row>
    <row r="22">
      <c r="A22" s="9"/>
      <c r="B22" s="335" t="s">
        <v>85</v>
      </c>
      <c r="C22" s="80" t="s">
        <v>26</v>
      </c>
      <c r="D22" s="82" t="s">
        <v>101</v>
      </c>
      <c r="E22" s="82" t="s">
        <v>53</v>
      </c>
      <c r="F22" s="84" t="s">
        <v>87</v>
      </c>
      <c r="G22" s="2"/>
      <c r="H22" s="338">
        <v>17.0</v>
      </c>
      <c r="I22" s="340" t="s">
        <v>47</v>
      </c>
      <c r="J22" s="342">
        <v>16.0</v>
      </c>
      <c r="K22" s="342">
        <v>13.0</v>
      </c>
      <c r="L22" s="342">
        <v>15.0</v>
      </c>
      <c r="M22" s="342">
        <v>5.0</v>
      </c>
      <c r="N22" s="338">
        <v>49.0</v>
      </c>
      <c r="O22" s="9"/>
      <c r="P22" s="135"/>
    </row>
    <row r="23">
      <c r="A23" s="9"/>
      <c r="B23" s="338" t="s">
        <v>47</v>
      </c>
      <c r="C23" s="345" t="s">
        <v>101</v>
      </c>
      <c r="D23" s="345" t="s">
        <v>51</v>
      </c>
      <c r="E23" s="345" t="s">
        <v>87</v>
      </c>
      <c r="F23" s="347" t="s">
        <v>27</v>
      </c>
      <c r="G23" s="51"/>
      <c r="H23" s="348">
        <v>18.0</v>
      </c>
      <c r="I23" s="350" t="s">
        <v>84</v>
      </c>
      <c r="J23" s="351">
        <v>10.0</v>
      </c>
      <c r="K23" s="353">
        <v>11.0</v>
      </c>
      <c r="L23" s="353">
        <v>14.0</v>
      </c>
      <c r="M23" s="353">
        <v>15.0</v>
      </c>
      <c r="N23" s="355">
        <v>50.0</v>
      </c>
      <c r="O23" s="9"/>
      <c r="P23" s="2"/>
    </row>
    <row r="24">
      <c r="A24" s="357"/>
      <c r="B24" s="2"/>
      <c r="C24" s="2"/>
      <c r="D24" s="2"/>
      <c r="E24" s="2"/>
      <c r="F24" s="2"/>
      <c r="G24" s="2"/>
      <c r="H24" s="2"/>
      <c r="I24" s="2"/>
      <c r="J24" s="9"/>
      <c r="K24" s="9"/>
      <c r="L24" s="9"/>
      <c r="M24" s="9"/>
      <c r="N24" s="9"/>
      <c r="O24" s="9"/>
      <c r="P24" s="2"/>
    </row>
    <row r="25">
      <c r="A25" s="361"/>
      <c r="B25" s="362"/>
      <c r="C25" s="362"/>
      <c r="D25" s="362"/>
      <c r="E25" s="362"/>
      <c r="F25" s="362"/>
      <c r="G25" s="361"/>
      <c r="H25" s="2"/>
      <c r="I25" s="2"/>
      <c r="J25" s="2"/>
      <c r="K25" s="2"/>
      <c r="L25" s="2"/>
      <c r="M25" s="2"/>
      <c r="N25" s="2"/>
      <c r="O25" s="2"/>
      <c r="P25" s="2"/>
    </row>
    <row r="26">
      <c r="A26" s="2"/>
      <c r="B26" s="366" t="s">
        <v>90</v>
      </c>
      <c r="C26" s="7"/>
      <c r="D26" s="7"/>
      <c r="E26" s="8"/>
      <c r="F26" s="51"/>
      <c r="G26" s="2"/>
      <c r="H26" s="369"/>
      <c r="I26" s="369"/>
      <c r="J26" s="369"/>
      <c r="M26" s="372"/>
      <c r="N26" s="369"/>
      <c r="O26" s="2"/>
      <c r="P26" s="2"/>
    </row>
    <row r="27">
      <c r="A27" s="2"/>
      <c r="B27" s="222" t="s">
        <v>93</v>
      </c>
      <c r="C27" s="224" t="s">
        <v>94</v>
      </c>
      <c r="D27" s="224" t="s">
        <v>93</v>
      </c>
      <c r="E27" s="278" t="s">
        <v>94</v>
      </c>
      <c r="F27" s="51"/>
      <c r="G27" s="2"/>
      <c r="H27" s="376"/>
      <c r="I27" s="378"/>
      <c r="J27" s="376"/>
      <c r="K27" s="376"/>
      <c r="L27" s="376"/>
      <c r="M27" s="376"/>
      <c r="N27" s="378"/>
      <c r="O27" s="2"/>
      <c r="P27" s="2"/>
    </row>
    <row r="28">
      <c r="A28" s="2"/>
      <c r="B28" s="231" t="s">
        <v>52</v>
      </c>
      <c r="C28" s="381"/>
      <c r="D28" s="236" t="s">
        <v>25</v>
      </c>
      <c r="E28" s="287">
        <v>14.0</v>
      </c>
      <c r="F28" s="51"/>
      <c r="G28" s="2"/>
      <c r="H28" s="376"/>
      <c r="I28" s="378"/>
      <c r="J28" s="376"/>
      <c r="K28" s="376"/>
      <c r="L28" s="376"/>
      <c r="M28" s="376"/>
      <c r="N28" s="378"/>
      <c r="O28" s="2"/>
      <c r="P28" s="2"/>
    </row>
    <row r="29">
      <c r="A29" s="2"/>
      <c r="B29" s="231" t="s">
        <v>45</v>
      </c>
      <c r="C29" s="251">
        <v>17.0</v>
      </c>
      <c r="D29" s="246" t="s">
        <v>39</v>
      </c>
      <c r="E29" s="280"/>
      <c r="F29" s="51"/>
      <c r="G29" s="2"/>
      <c r="H29" s="376"/>
      <c r="I29" s="378"/>
      <c r="J29" s="376"/>
      <c r="K29" s="376"/>
      <c r="L29" s="376"/>
      <c r="M29" s="376"/>
      <c r="N29" s="378"/>
      <c r="O29" s="2"/>
      <c r="P29" s="2"/>
    </row>
    <row r="30">
      <c r="A30" s="2"/>
      <c r="B30" s="231" t="s">
        <v>101</v>
      </c>
      <c r="C30" s="251">
        <v>16.0</v>
      </c>
      <c r="D30" s="246" t="s">
        <v>16</v>
      </c>
      <c r="E30" s="280"/>
      <c r="F30" s="51"/>
      <c r="G30" s="2"/>
      <c r="H30" s="376"/>
      <c r="I30" s="378"/>
      <c r="J30" s="376"/>
      <c r="K30" s="376"/>
      <c r="L30" s="376"/>
      <c r="M30" s="376"/>
      <c r="N30" s="378"/>
      <c r="O30" s="2"/>
      <c r="P30" s="2"/>
    </row>
    <row r="31">
      <c r="A31" s="2"/>
      <c r="B31" s="231" t="s">
        <v>51</v>
      </c>
      <c r="C31" s="241"/>
      <c r="D31" s="246" t="s">
        <v>82</v>
      </c>
      <c r="E31" s="280"/>
      <c r="F31" s="51"/>
      <c r="G31" s="2"/>
      <c r="H31" s="376"/>
      <c r="I31" s="378"/>
      <c r="J31" s="376"/>
      <c r="K31" s="376"/>
      <c r="L31" s="376"/>
      <c r="M31" s="376"/>
      <c r="N31" s="378"/>
      <c r="O31" s="2"/>
      <c r="P31" s="2"/>
    </row>
    <row r="32">
      <c r="A32" s="2"/>
      <c r="B32" s="231" t="s">
        <v>41</v>
      </c>
      <c r="C32" s="241"/>
      <c r="D32" s="246" t="s">
        <v>19</v>
      </c>
      <c r="E32" s="280"/>
      <c r="F32" s="51"/>
      <c r="G32" s="2"/>
      <c r="H32" s="376"/>
      <c r="I32" s="378"/>
      <c r="J32" s="376"/>
      <c r="K32" s="376"/>
      <c r="L32" s="376"/>
      <c r="M32" s="376"/>
      <c r="N32" s="378"/>
      <c r="O32" s="2"/>
      <c r="P32" s="2"/>
    </row>
    <row r="33">
      <c r="A33" s="2"/>
      <c r="B33" s="231" t="s">
        <v>87</v>
      </c>
      <c r="C33" s="251">
        <v>15.0</v>
      </c>
      <c r="D33" s="246" t="s">
        <v>43</v>
      </c>
      <c r="E33" s="280"/>
      <c r="F33" s="51"/>
      <c r="G33" s="2"/>
      <c r="H33" s="376"/>
      <c r="I33" s="378"/>
      <c r="J33" s="376"/>
      <c r="K33" s="376"/>
      <c r="L33" s="376"/>
      <c r="M33" s="376"/>
      <c r="N33" s="378"/>
      <c r="O33" s="2"/>
      <c r="P33" s="2"/>
    </row>
    <row r="34">
      <c r="A34" s="2"/>
      <c r="B34" s="231" t="s">
        <v>27</v>
      </c>
      <c r="C34" s="241"/>
      <c r="D34" s="246" t="s">
        <v>24</v>
      </c>
      <c r="E34" s="287"/>
      <c r="F34" s="51"/>
      <c r="G34" s="2"/>
      <c r="H34" s="376"/>
      <c r="I34" s="378"/>
      <c r="J34" s="376"/>
      <c r="K34" s="376"/>
      <c r="L34" s="376"/>
      <c r="M34" s="376"/>
      <c r="N34" s="378"/>
      <c r="O34" s="2"/>
      <c r="P34" s="2"/>
    </row>
    <row r="35">
      <c r="A35" s="2"/>
      <c r="B35" s="231" t="s">
        <v>26</v>
      </c>
      <c r="C35" s="241"/>
      <c r="D35" s="246" t="s">
        <v>92</v>
      </c>
      <c r="E35" s="280"/>
      <c r="F35" s="2"/>
      <c r="G35" s="2"/>
      <c r="H35" s="376"/>
      <c r="I35" s="378"/>
      <c r="J35" s="376"/>
      <c r="K35" s="376"/>
      <c r="L35" s="376"/>
      <c r="M35" s="376"/>
      <c r="N35" s="378"/>
      <c r="O35" s="2"/>
      <c r="P35" s="2"/>
    </row>
    <row r="36">
      <c r="A36" s="2"/>
      <c r="B36" s="272" t="s">
        <v>111</v>
      </c>
      <c r="C36" s="274">
        <v>18.0</v>
      </c>
      <c r="D36" s="276" t="s">
        <v>53</v>
      </c>
      <c r="E36" s="392"/>
      <c r="F36" s="2"/>
      <c r="G36" s="2"/>
      <c r="H36" s="376"/>
      <c r="I36" s="378"/>
      <c r="J36" s="376"/>
      <c r="K36" s="376"/>
      <c r="L36" s="376"/>
      <c r="M36" s="376"/>
      <c r="N36" s="378"/>
      <c r="O36" s="2"/>
      <c r="P36" s="2"/>
    </row>
    <row r="37">
      <c r="A37" s="2"/>
      <c r="B37" s="2"/>
      <c r="C37" s="2"/>
      <c r="D37" s="2"/>
      <c r="E37" s="2"/>
      <c r="F37" s="2"/>
      <c r="G37" s="2"/>
      <c r="H37" s="376"/>
      <c r="I37" s="378"/>
      <c r="J37" s="376"/>
      <c r="K37" s="376"/>
      <c r="L37" s="376"/>
      <c r="M37" s="376"/>
      <c r="N37" s="378"/>
      <c r="O37" s="2"/>
      <c r="P37" s="2"/>
    </row>
    <row r="38">
      <c r="A38" s="2"/>
      <c r="B38" s="2"/>
      <c r="C38" s="2"/>
      <c r="D38" s="2"/>
      <c r="E38" s="2"/>
      <c r="F38" s="2"/>
      <c r="G38" s="2"/>
      <c r="H38" s="376"/>
      <c r="I38" s="378"/>
      <c r="J38" s="376"/>
      <c r="K38" s="376"/>
      <c r="L38" s="376"/>
      <c r="M38" s="376"/>
      <c r="N38" s="378"/>
      <c r="O38" s="2"/>
      <c r="P38" s="2"/>
    </row>
    <row r="39">
      <c r="A39" s="2"/>
      <c r="B39" s="2"/>
      <c r="C39" s="2"/>
      <c r="D39" s="2"/>
      <c r="E39" s="2"/>
      <c r="F39" s="2"/>
      <c r="G39" s="2"/>
      <c r="H39" s="376"/>
      <c r="I39" s="378"/>
      <c r="J39" s="376"/>
      <c r="K39" s="376"/>
      <c r="L39" s="376"/>
      <c r="M39" s="376"/>
      <c r="N39" s="378"/>
      <c r="O39" s="2"/>
      <c r="P39" s="2"/>
    </row>
    <row r="40">
      <c r="A40" s="2"/>
      <c r="B40" s="2"/>
      <c r="C40" s="2"/>
      <c r="D40" s="2"/>
      <c r="E40" s="2"/>
      <c r="F40" s="2"/>
      <c r="G40" s="2"/>
      <c r="H40" s="376"/>
      <c r="I40" s="378"/>
      <c r="J40" s="376"/>
      <c r="K40" s="376"/>
      <c r="L40" s="376"/>
      <c r="M40" s="376"/>
      <c r="N40" s="378"/>
      <c r="O40" s="2"/>
      <c r="P40" s="2"/>
    </row>
    <row r="41">
      <c r="H41" s="32"/>
      <c r="I41" s="401"/>
      <c r="J41" s="32"/>
      <c r="K41" s="32"/>
      <c r="L41" s="32"/>
      <c r="M41" s="32"/>
      <c r="N41" s="401"/>
    </row>
    <row r="42">
      <c r="H42" s="32"/>
      <c r="I42" s="401"/>
      <c r="J42" s="32"/>
      <c r="K42" s="32"/>
      <c r="L42" s="32"/>
      <c r="M42" s="32"/>
      <c r="N42" s="401"/>
    </row>
    <row r="43">
      <c r="H43" s="32"/>
      <c r="I43" s="401"/>
      <c r="J43" s="32"/>
      <c r="K43" s="32"/>
      <c r="L43" s="32"/>
      <c r="M43" s="32"/>
      <c r="N43" s="401"/>
    </row>
    <row r="44">
      <c r="H44" s="32"/>
      <c r="I44" s="401"/>
      <c r="J44" s="32"/>
      <c r="K44" s="32"/>
      <c r="L44" s="32"/>
      <c r="M44" s="32"/>
      <c r="N44" s="401"/>
    </row>
  </sheetData>
  <mergeCells count="4">
    <mergeCell ref="B2:N3"/>
    <mergeCell ref="J5:L5"/>
    <mergeCell ref="B26:E26"/>
    <mergeCell ref="J26:L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FF31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7" max="7" width="6.63"/>
    <col customWidth="1" min="8" max="8" width="3.75"/>
    <col customWidth="1" min="10" max="13" width="3.38"/>
    <col customWidth="1" min="14" max="14" width="6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455" t="s">
        <v>121</v>
      </c>
      <c r="O3" s="2"/>
    </row>
    <row r="4">
      <c r="A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2"/>
      <c r="B6" s="456" t="s">
        <v>3</v>
      </c>
      <c r="C6" s="456" t="s">
        <v>4</v>
      </c>
      <c r="D6" s="456" t="s">
        <v>5</v>
      </c>
      <c r="E6" s="456" t="s">
        <v>6</v>
      </c>
      <c r="F6" s="456" t="s">
        <v>7</v>
      </c>
      <c r="G6" s="2"/>
      <c r="H6" s="456" t="s">
        <v>8</v>
      </c>
      <c r="I6" s="456" t="s">
        <v>3</v>
      </c>
      <c r="J6" s="457" t="s">
        <v>10</v>
      </c>
      <c r="K6" s="458"/>
      <c r="L6" s="458"/>
      <c r="M6" s="459"/>
      <c r="N6" s="456" t="s">
        <v>11</v>
      </c>
      <c r="O6" s="40" t="s">
        <v>20</v>
      </c>
    </row>
    <row r="7">
      <c r="A7" s="460"/>
      <c r="B7" s="461" t="s">
        <v>14</v>
      </c>
      <c r="C7" s="462" t="s">
        <v>35</v>
      </c>
      <c r="D7" s="462" t="s">
        <v>108</v>
      </c>
      <c r="E7" s="462" t="s">
        <v>122</v>
      </c>
      <c r="F7" s="462" t="s">
        <v>123</v>
      </c>
      <c r="G7" s="2"/>
      <c r="H7" s="463">
        <v>1.0</v>
      </c>
      <c r="I7" s="463" t="s">
        <v>36</v>
      </c>
      <c r="J7" s="464">
        <v>3.0</v>
      </c>
      <c r="K7" s="464">
        <v>1.0</v>
      </c>
      <c r="L7" s="464">
        <v>5.0</v>
      </c>
      <c r="M7" s="464">
        <v>8.0</v>
      </c>
      <c r="N7" s="463">
        <v>17.0</v>
      </c>
      <c r="O7" s="73">
        <v>230.0</v>
      </c>
    </row>
    <row r="8">
      <c r="A8" s="460"/>
      <c r="B8" s="463" t="s">
        <v>36</v>
      </c>
      <c r="C8" s="462" t="s">
        <v>35</v>
      </c>
      <c r="D8" s="465" t="s">
        <v>120</v>
      </c>
      <c r="E8" s="462" t="s">
        <v>124</v>
      </c>
      <c r="F8" s="462" t="s">
        <v>125</v>
      </c>
      <c r="G8" s="2"/>
      <c r="H8" s="466">
        <v>2.0</v>
      </c>
      <c r="I8" s="466" t="s">
        <v>74</v>
      </c>
      <c r="J8" s="467">
        <v>2.0</v>
      </c>
      <c r="K8" s="467">
        <v>1.0</v>
      </c>
      <c r="L8" s="467">
        <v>5.0</v>
      </c>
      <c r="M8" s="467">
        <v>16.0</v>
      </c>
      <c r="N8" s="466">
        <v>24.0</v>
      </c>
      <c r="O8" s="73">
        <v>110.0</v>
      </c>
    </row>
    <row r="9">
      <c r="A9" s="460"/>
      <c r="B9" s="468" t="s">
        <v>47</v>
      </c>
      <c r="C9" s="462" t="s">
        <v>126</v>
      </c>
      <c r="D9" s="462" t="s">
        <v>127</v>
      </c>
      <c r="E9" s="465" t="s">
        <v>120</v>
      </c>
      <c r="F9" s="462" t="s">
        <v>123</v>
      </c>
      <c r="G9" s="2"/>
      <c r="H9" s="469">
        <v>3.0</v>
      </c>
      <c r="I9" s="469" t="s">
        <v>23</v>
      </c>
      <c r="J9" s="465">
        <v>1.0</v>
      </c>
      <c r="K9" s="465">
        <v>6.0</v>
      </c>
      <c r="L9" s="465">
        <v>7.0</v>
      </c>
      <c r="M9" s="465">
        <v>11.0</v>
      </c>
      <c r="N9" s="469">
        <v>25.0</v>
      </c>
      <c r="O9" s="73">
        <v>60.0</v>
      </c>
    </row>
    <row r="10">
      <c r="A10" s="460"/>
      <c r="B10" s="470" t="s">
        <v>49</v>
      </c>
      <c r="C10" s="462" t="s">
        <v>35</v>
      </c>
      <c r="D10" s="462" t="s">
        <v>128</v>
      </c>
      <c r="E10" s="462" t="s">
        <v>71</v>
      </c>
      <c r="F10" s="462" t="s">
        <v>129</v>
      </c>
      <c r="G10" s="2"/>
      <c r="H10" s="471">
        <v>4.0</v>
      </c>
      <c r="I10" s="471" t="s">
        <v>70</v>
      </c>
      <c r="J10" s="472">
        <v>9.0</v>
      </c>
      <c r="K10" s="472">
        <v>5.0</v>
      </c>
      <c r="L10" s="472">
        <v>7.0</v>
      </c>
      <c r="M10" s="472">
        <v>8.0</v>
      </c>
      <c r="N10" s="471">
        <v>29.0</v>
      </c>
      <c r="O10" s="73"/>
    </row>
    <row r="11">
      <c r="A11" s="460"/>
      <c r="B11" s="473" t="s">
        <v>28</v>
      </c>
      <c r="C11" s="462" t="s">
        <v>35</v>
      </c>
      <c r="D11" s="462" t="s">
        <v>71</v>
      </c>
      <c r="E11" s="462" t="s">
        <v>124</v>
      </c>
      <c r="F11" s="462" t="s">
        <v>129</v>
      </c>
      <c r="G11" s="2"/>
      <c r="H11" s="474">
        <v>5.0</v>
      </c>
      <c r="I11" s="474" t="s">
        <v>38</v>
      </c>
      <c r="J11" s="475">
        <v>2.0</v>
      </c>
      <c r="K11" s="475">
        <v>16.0</v>
      </c>
      <c r="L11" s="475">
        <v>4.0</v>
      </c>
      <c r="M11" s="475">
        <v>11.0</v>
      </c>
      <c r="N11" s="474">
        <v>33.0</v>
      </c>
      <c r="O11" s="73"/>
    </row>
    <row r="12">
      <c r="A12" s="460"/>
      <c r="B12" s="476" t="s">
        <v>63</v>
      </c>
      <c r="C12" s="462" t="s">
        <v>126</v>
      </c>
      <c r="D12" s="462" t="s">
        <v>123</v>
      </c>
      <c r="E12" s="462" t="s">
        <v>130</v>
      </c>
      <c r="F12" s="462" t="s">
        <v>131</v>
      </c>
      <c r="G12" s="2"/>
      <c r="H12" s="473">
        <v>6.0</v>
      </c>
      <c r="I12" s="473" t="s">
        <v>28</v>
      </c>
      <c r="J12" s="477">
        <v>3.0</v>
      </c>
      <c r="K12" s="477">
        <v>10.0</v>
      </c>
      <c r="L12" s="477">
        <v>5.0</v>
      </c>
      <c r="M12" s="477">
        <v>16.0</v>
      </c>
      <c r="N12" s="473">
        <v>34.0</v>
      </c>
      <c r="O12" s="73"/>
    </row>
    <row r="13">
      <c r="A13" s="460"/>
      <c r="B13" s="469" t="s">
        <v>23</v>
      </c>
      <c r="C13" s="465" t="s">
        <v>120</v>
      </c>
      <c r="D13" s="462" t="s">
        <v>128</v>
      </c>
      <c r="E13" s="462" t="s">
        <v>130</v>
      </c>
      <c r="F13" s="462" t="s">
        <v>132</v>
      </c>
      <c r="G13" s="2"/>
      <c r="H13" s="478">
        <v>7.0</v>
      </c>
      <c r="I13" s="468" t="s">
        <v>47</v>
      </c>
      <c r="J13" s="479">
        <v>2.0</v>
      </c>
      <c r="K13" s="479">
        <v>15.0</v>
      </c>
      <c r="L13" s="479">
        <v>1.0</v>
      </c>
      <c r="M13" s="479">
        <v>17.0</v>
      </c>
      <c r="N13" s="478" t="s">
        <v>133</v>
      </c>
      <c r="O13" s="73"/>
    </row>
    <row r="14">
      <c r="A14" s="460"/>
      <c r="B14" s="471" t="s">
        <v>70</v>
      </c>
      <c r="C14" s="462" t="s">
        <v>131</v>
      </c>
      <c r="D14" s="462" t="s">
        <v>124</v>
      </c>
      <c r="E14" s="462" t="s">
        <v>130</v>
      </c>
      <c r="F14" s="462" t="s">
        <v>125</v>
      </c>
      <c r="G14" s="2"/>
      <c r="H14" s="480">
        <v>8.0</v>
      </c>
      <c r="I14" s="476" t="s">
        <v>63</v>
      </c>
      <c r="J14" s="481">
        <v>2.0</v>
      </c>
      <c r="K14" s="481">
        <v>17.0</v>
      </c>
      <c r="L14" s="481">
        <v>7.0</v>
      </c>
      <c r="M14" s="481">
        <v>9.0</v>
      </c>
      <c r="N14" s="480">
        <v>35.0</v>
      </c>
      <c r="O14" s="73"/>
    </row>
    <row r="15">
      <c r="A15" s="460"/>
      <c r="B15" s="482" t="s">
        <v>91</v>
      </c>
      <c r="C15" s="462" t="s">
        <v>134</v>
      </c>
      <c r="D15" s="462" t="s">
        <v>71</v>
      </c>
      <c r="E15" s="462" t="s">
        <v>131</v>
      </c>
      <c r="F15" s="462" t="s">
        <v>132</v>
      </c>
      <c r="G15" s="2"/>
      <c r="H15" s="483">
        <v>9.0</v>
      </c>
      <c r="I15" s="484" t="s">
        <v>49</v>
      </c>
      <c r="J15" s="485">
        <v>3.0</v>
      </c>
      <c r="K15" s="485">
        <v>6.0</v>
      </c>
      <c r="L15" s="485">
        <v>10.0</v>
      </c>
      <c r="M15" s="485">
        <v>16.0</v>
      </c>
      <c r="N15" s="483" t="s">
        <v>135</v>
      </c>
      <c r="O15" s="73"/>
    </row>
    <row r="16">
      <c r="A16" s="460"/>
      <c r="B16" s="466" t="s">
        <v>74</v>
      </c>
      <c r="C16" s="462" t="s">
        <v>126</v>
      </c>
      <c r="D16" s="465" t="s">
        <v>120</v>
      </c>
      <c r="E16" s="462" t="s">
        <v>124</v>
      </c>
      <c r="F16" s="462" t="s">
        <v>129</v>
      </c>
      <c r="G16" s="2"/>
      <c r="H16" s="486">
        <v>10.0</v>
      </c>
      <c r="I16" s="461" t="s">
        <v>14</v>
      </c>
      <c r="J16" s="487">
        <v>3.0</v>
      </c>
      <c r="K16" s="487">
        <v>4.0</v>
      </c>
      <c r="L16" s="487">
        <v>14.0</v>
      </c>
      <c r="M16" s="487">
        <v>17.0</v>
      </c>
      <c r="N16" s="486">
        <v>38.0</v>
      </c>
      <c r="O16" s="73"/>
    </row>
    <row r="17">
      <c r="A17" s="460"/>
      <c r="B17" s="488" t="s">
        <v>61</v>
      </c>
      <c r="C17" s="462" t="s">
        <v>127</v>
      </c>
      <c r="D17" s="462" t="s">
        <v>122</v>
      </c>
      <c r="E17" s="462" t="s">
        <v>125</v>
      </c>
      <c r="F17" s="462" t="s">
        <v>134</v>
      </c>
      <c r="G17" s="2"/>
      <c r="H17" s="490">
        <v>11.0</v>
      </c>
      <c r="I17" s="490" t="s">
        <v>13</v>
      </c>
      <c r="J17" s="492">
        <v>15.0</v>
      </c>
      <c r="K17" s="492">
        <v>8.0</v>
      </c>
      <c r="L17" s="492">
        <v>4.0</v>
      </c>
      <c r="M17" s="492">
        <v>12.0</v>
      </c>
      <c r="N17" s="490">
        <v>39.0</v>
      </c>
      <c r="O17" s="73"/>
    </row>
    <row r="18">
      <c r="A18" s="460"/>
      <c r="B18" s="490" t="s">
        <v>13</v>
      </c>
      <c r="C18" s="462" t="s">
        <v>127</v>
      </c>
      <c r="D18" s="462" t="s">
        <v>125</v>
      </c>
      <c r="E18" s="462" t="s">
        <v>108</v>
      </c>
      <c r="F18" s="462" t="s">
        <v>138</v>
      </c>
      <c r="G18" s="2"/>
      <c r="H18" s="495">
        <v>12.0</v>
      </c>
      <c r="I18" s="495" t="s">
        <v>85</v>
      </c>
      <c r="J18" s="498">
        <v>10.0</v>
      </c>
      <c r="K18" s="498">
        <v>15.0</v>
      </c>
      <c r="L18" s="498">
        <v>4.0</v>
      </c>
      <c r="M18" s="498">
        <v>11.0</v>
      </c>
      <c r="N18" s="495" t="s">
        <v>139</v>
      </c>
      <c r="O18" s="73"/>
    </row>
    <row r="19">
      <c r="A19" s="460"/>
      <c r="B19" s="500" t="s">
        <v>22</v>
      </c>
      <c r="C19" s="462" t="s">
        <v>128</v>
      </c>
      <c r="D19" s="462" t="s">
        <v>131</v>
      </c>
      <c r="E19" s="462" t="s">
        <v>122</v>
      </c>
      <c r="F19" s="462" t="s">
        <v>134</v>
      </c>
      <c r="G19" s="2"/>
      <c r="H19" s="501">
        <v>13.0</v>
      </c>
      <c r="I19" s="501" t="s">
        <v>50</v>
      </c>
      <c r="J19" s="502">
        <v>6.0</v>
      </c>
      <c r="K19" s="502">
        <v>7.0</v>
      </c>
      <c r="L19" s="502">
        <v>14.0</v>
      </c>
      <c r="M19" s="502">
        <v>13.0</v>
      </c>
      <c r="N19" s="501" t="s">
        <v>140</v>
      </c>
      <c r="O19" s="73"/>
    </row>
    <row r="20">
      <c r="A20" s="460"/>
      <c r="B20" s="474" t="s">
        <v>38</v>
      </c>
      <c r="C20" s="462" t="s">
        <v>126</v>
      </c>
      <c r="D20" s="462" t="s">
        <v>129</v>
      </c>
      <c r="E20" s="462" t="s">
        <v>108</v>
      </c>
      <c r="F20" s="462" t="s">
        <v>132</v>
      </c>
      <c r="G20" s="2"/>
      <c r="H20" s="504">
        <v>14.0</v>
      </c>
      <c r="I20" s="504" t="s">
        <v>22</v>
      </c>
      <c r="J20" s="506">
        <v>6.0</v>
      </c>
      <c r="K20" s="506">
        <v>9.0</v>
      </c>
      <c r="L20" s="506">
        <v>14.0</v>
      </c>
      <c r="M20" s="506">
        <v>13.0</v>
      </c>
      <c r="N20" s="504">
        <v>42.0</v>
      </c>
      <c r="O20" s="73"/>
    </row>
    <row r="21">
      <c r="A21" s="460"/>
      <c r="B21" s="495" t="s">
        <v>85</v>
      </c>
      <c r="C21" s="462" t="s">
        <v>71</v>
      </c>
      <c r="D21" s="462" t="s">
        <v>127</v>
      </c>
      <c r="E21" s="462" t="s">
        <v>108</v>
      </c>
      <c r="F21" s="462" t="s">
        <v>132</v>
      </c>
      <c r="G21" s="2"/>
      <c r="H21" s="482">
        <v>15.0</v>
      </c>
      <c r="I21" s="482" t="s">
        <v>91</v>
      </c>
      <c r="J21" s="510">
        <v>13.0</v>
      </c>
      <c r="K21" s="510">
        <v>10.0</v>
      </c>
      <c r="L21" s="510">
        <v>9.0</v>
      </c>
      <c r="M21" s="510">
        <v>11.0</v>
      </c>
      <c r="N21" s="482">
        <v>43.0</v>
      </c>
      <c r="O21" s="73"/>
    </row>
    <row r="22">
      <c r="A22" s="460"/>
      <c r="B22" s="501" t="s">
        <v>50</v>
      </c>
      <c r="C22" s="462" t="s">
        <v>128</v>
      </c>
      <c r="D22" s="462" t="s">
        <v>130</v>
      </c>
      <c r="E22" s="462" t="s">
        <v>122</v>
      </c>
      <c r="F22" s="462" t="s">
        <v>134</v>
      </c>
      <c r="G22" s="2"/>
      <c r="H22" s="488">
        <v>16.0</v>
      </c>
      <c r="I22" s="488" t="s">
        <v>61</v>
      </c>
      <c r="J22" s="514">
        <v>15.0</v>
      </c>
      <c r="K22" s="514">
        <v>14.0</v>
      </c>
      <c r="L22" s="514">
        <v>8.0</v>
      </c>
      <c r="M22" s="514">
        <v>13.0</v>
      </c>
      <c r="N22" s="488">
        <v>50.0</v>
      </c>
      <c r="O22" s="73"/>
    </row>
    <row r="23">
      <c r="A23" s="517"/>
      <c r="B23" s="517"/>
      <c r="C23" s="517"/>
      <c r="D23" s="517"/>
      <c r="E23" s="517"/>
      <c r="F23" s="517"/>
      <c r="G23" s="517"/>
      <c r="H23" s="517"/>
      <c r="I23" s="517"/>
      <c r="J23" s="517"/>
      <c r="K23" s="517"/>
      <c r="L23" s="517"/>
      <c r="M23" s="517"/>
      <c r="N23" s="517"/>
      <c r="O23" s="517"/>
    </row>
  </sheetData>
  <mergeCells count="2">
    <mergeCell ref="B3:N4"/>
    <mergeCell ref="J6:M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7478"/>
    <outlinePr summaryBelow="0" summaryRight="0"/>
  </sheetPr>
  <sheetViews>
    <sheetView workbookViewId="0"/>
  </sheetViews>
  <sheetFormatPr customHeight="1" defaultColWidth="12.63" defaultRowHeight="15.75"/>
  <cols>
    <col customWidth="1" min="7" max="7" width="3.63"/>
    <col customWidth="1" min="8" max="8" width="4.38"/>
    <col customWidth="1" min="10" max="13" width="3.63"/>
    <col customWidth="1" min="14" max="14" width="6.0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455" t="s">
        <v>136</v>
      </c>
      <c r="O3" s="2"/>
    </row>
    <row r="4">
      <c r="A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2"/>
      <c r="B6" s="493" t="s">
        <v>3</v>
      </c>
      <c r="C6" s="24" t="s">
        <v>4</v>
      </c>
      <c r="D6" s="24" t="s">
        <v>5</v>
      </c>
      <c r="E6" s="24" t="s">
        <v>6</v>
      </c>
      <c r="F6" s="33" t="s">
        <v>7</v>
      </c>
      <c r="G6" s="2"/>
      <c r="H6" s="11" t="s">
        <v>8</v>
      </c>
      <c r="I6" s="11" t="s">
        <v>3</v>
      </c>
      <c r="J6" s="13" t="s">
        <v>10</v>
      </c>
      <c r="K6" s="4"/>
      <c r="L6" s="4"/>
      <c r="M6" s="4"/>
      <c r="N6" s="15" t="s">
        <v>11</v>
      </c>
      <c r="O6" s="40" t="s">
        <v>20</v>
      </c>
    </row>
    <row r="7">
      <c r="A7" s="2"/>
      <c r="B7" s="503" t="s">
        <v>14</v>
      </c>
      <c r="C7" s="91" t="s">
        <v>141</v>
      </c>
      <c r="D7" s="91" t="s">
        <v>142</v>
      </c>
      <c r="E7" s="91" t="s">
        <v>143</v>
      </c>
      <c r="F7" s="505" t="s">
        <v>144</v>
      </c>
      <c r="G7" s="2"/>
      <c r="H7" s="507">
        <v>1.0</v>
      </c>
      <c r="I7" s="508" t="s">
        <v>85</v>
      </c>
      <c r="J7" s="509">
        <v>10.0</v>
      </c>
      <c r="K7" s="509">
        <v>3.0</v>
      </c>
      <c r="L7" s="509">
        <v>7.0</v>
      </c>
      <c r="M7" s="511">
        <v>1.0</v>
      </c>
      <c r="N7" s="508">
        <v>21.0</v>
      </c>
      <c r="O7" s="73">
        <v>180.0</v>
      </c>
    </row>
    <row r="8">
      <c r="A8" s="2"/>
      <c r="B8" s="512" t="s">
        <v>36</v>
      </c>
      <c r="C8" s="91" t="s">
        <v>120</v>
      </c>
      <c r="D8" s="91" t="s">
        <v>148</v>
      </c>
      <c r="E8" s="91" t="s">
        <v>149</v>
      </c>
      <c r="F8" s="505" t="s">
        <v>144</v>
      </c>
      <c r="G8" s="2"/>
      <c r="H8" s="141">
        <v>2.0</v>
      </c>
      <c r="I8" s="516" t="s">
        <v>22</v>
      </c>
      <c r="J8" s="518">
        <v>16.0</v>
      </c>
      <c r="K8" s="518">
        <v>2.0</v>
      </c>
      <c r="L8" s="518">
        <v>1.0</v>
      </c>
      <c r="M8" s="520">
        <v>5.0</v>
      </c>
      <c r="N8" s="516">
        <v>24.0</v>
      </c>
      <c r="O8" s="73">
        <v>80.0</v>
      </c>
    </row>
    <row r="9">
      <c r="A9" s="2"/>
      <c r="B9" s="521" t="s">
        <v>47</v>
      </c>
      <c r="C9" s="91" t="s">
        <v>143</v>
      </c>
      <c r="D9" s="91" t="s">
        <v>154</v>
      </c>
      <c r="E9" s="91" t="s">
        <v>155</v>
      </c>
      <c r="F9" s="505" t="s">
        <v>144</v>
      </c>
      <c r="G9" s="2"/>
      <c r="H9" s="299">
        <v>3.0</v>
      </c>
      <c r="I9" s="524" t="s">
        <v>49</v>
      </c>
      <c r="J9" s="526">
        <v>11.0</v>
      </c>
      <c r="K9" s="526">
        <v>2.0</v>
      </c>
      <c r="L9" s="526">
        <v>4.0</v>
      </c>
      <c r="M9" s="527">
        <v>9.0</v>
      </c>
      <c r="N9" s="524">
        <v>26.0</v>
      </c>
      <c r="O9" s="73">
        <v>40.0</v>
      </c>
    </row>
    <row r="10">
      <c r="A10" s="2"/>
      <c r="B10" s="522" t="s">
        <v>49</v>
      </c>
      <c r="C10" s="91" t="s">
        <v>155</v>
      </c>
      <c r="D10" s="91" t="s">
        <v>154</v>
      </c>
      <c r="E10" s="91" t="s">
        <v>148</v>
      </c>
      <c r="F10" s="505" t="s">
        <v>159</v>
      </c>
      <c r="G10" s="2"/>
      <c r="H10" s="96">
        <v>4.0</v>
      </c>
      <c r="I10" s="529" t="s">
        <v>50</v>
      </c>
      <c r="J10" s="531">
        <v>10.0</v>
      </c>
      <c r="K10" s="531">
        <v>1.0</v>
      </c>
      <c r="L10" s="531">
        <v>16.0</v>
      </c>
      <c r="M10" s="533">
        <v>3.0</v>
      </c>
      <c r="N10" s="529">
        <v>30.0</v>
      </c>
      <c r="O10" s="534"/>
    </row>
    <row r="11">
      <c r="A11" s="2"/>
      <c r="B11" s="535" t="s">
        <v>28</v>
      </c>
      <c r="C11" s="91" t="s">
        <v>142</v>
      </c>
      <c r="D11" s="91" t="s">
        <v>162</v>
      </c>
      <c r="E11" s="91" t="s">
        <v>163</v>
      </c>
      <c r="F11" s="505" t="s">
        <v>164</v>
      </c>
      <c r="G11" s="2"/>
      <c r="H11" s="310">
        <v>5.0</v>
      </c>
      <c r="I11" s="536" t="s">
        <v>28</v>
      </c>
      <c r="J11" s="537">
        <v>12.0</v>
      </c>
      <c r="K11" s="537">
        <v>10.0</v>
      </c>
      <c r="L11" s="537">
        <v>3.0</v>
      </c>
      <c r="M11" s="539">
        <v>6.0</v>
      </c>
      <c r="N11" s="536">
        <v>31.0</v>
      </c>
      <c r="O11" s="36"/>
    </row>
    <row r="12">
      <c r="A12" s="2"/>
      <c r="B12" s="541" t="s">
        <v>23</v>
      </c>
      <c r="C12" s="91" t="s">
        <v>155</v>
      </c>
      <c r="D12" s="91" t="s">
        <v>159</v>
      </c>
      <c r="E12" s="91" t="s">
        <v>18</v>
      </c>
      <c r="F12" s="505" t="s">
        <v>166</v>
      </c>
      <c r="G12" s="2"/>
      <c r="H12" s="542">
        <v>6.0</v>
      </c>
      <c r="I12" s="543" t="s">
        <v>61</v>
      </c>
      <c r="J12" s="544">
        <v>4.0</v>
      </c>
      <c r="K12" s="544">
        <v>17.0</v>
      </c>
      <c r="L12" s="544">
        <v>5.0</v>
      </c>
      <c r="M12" s="546">
        <v>14.0</v>
      </c>
      <c r="N12" s="543">
        <v>40.0</v>
      </c>
      <c r="O12" s="36"/>
    </row>
    <row r="13">
      <c r="A13" s="2"/>
      <c r="B13" s="548" t="s">
        <v>91</v>
      </c>
      <c r="C13" s="91" t="s">
        <v>120</v>
      </c>
      <c r="D13" s="91" t="s">
        <v>141</v>
      </c>
      <c r="E13" s="91" t="s">
        <v>149</v>
      </c>
      <c r="F13" s="505" t="s">
        <v>168</v>
      </c>
      <c r="G13" s="2"/>
      <c r="H13" s="550">
        <v>7.0</v>
      </c>
      <c r="I13" s="551" t="s">
        <v>47</v>
      </c>
      <c r="J13" s="552">
        <v>15.0</v>
      </c>
      <c r="K13" s="552">
        <v>2.0</v>
      </c>
      <c r="L13" s="552">
        <v>11.0</v>
      </c>
      <c r="M13" s="553">
        <v>13.0</v>
      </c>
      <c r="N13" s="551" t="s">
        <v>171</v>
      </c>
      <c r="O13" s="36"/>
    </row>
    <row r="14">
      <c r="A14" s="2"/>
      <c r="B14" s="545" t="s">
        <v>74</v>
      </c>
      <c r="C14" s="91" t="s">
        <v>142</v>
      </c>
      <c r="D14" s="91" t="s">
        <v>120</v>
      </c>
      <c r="E14" s="91" t="s">
        <v>159</v>
      </c>
      <c r="F14" s="505" t="s">
        <v>143</v>
      </c>
      <c r="G14" s="2"/>
      <c r="H14" s="556">
        <v>8.0</v>
      </c>
      <c r="I14" s="557" t="s">
        <v>23</v>
      </c>
      <c r="J14" s="558">
        <v>11.0</v>
      </c>
      <c r="K14" s="558">
        <v>9.0</v>
      </c>
      <c r="L14" s="558">
        <v>5.0</v>
      </c>
      <c r="M14" s="560">
        <v>16.0</v>
      </c>
      <c r="N14" s="557" t="s">
        <v>172</v>
      </c>
      <c r="O14" s="36"/>
    </row>
    <row r="15">
      <c r="A15" s="2"/>
      <c r="B15" s="559" t="s">
        <v>61</v>
      </c>
      <c r="C15" s="91" t="s">
        <v>148</v>
      </c>
      <c r="D15" s="91" t="s">
        <v>149</v>
      </c>
      <c r="E15" s="91" t="s">
        <v>18</v>
      </c>
      <c r="F15" s="505" t="s">
        <v>168</v>
      </c>
      <c r="G15" s="2"/>
      <c r="H15" s="286">
        <v>9.0</v>
      </c>
      <c r="I15" s="562" t="s">
        <v>36</v>
      </c>
      <c r="J15" s="564">
        <v>8.0</v>
      </c>
      <c r="K15" s="564">
        <v>4.0</v>
      </c>
      <c r="L15" s="564">
        <v>17.0</v>
      </c>
      <c r="M15" s="566">
        <v>13.0</v>
      </c>
      <c r="N15" s="562">
        <v>42.0</v>
      </c>
      <c r="O15" s="36"/>
    </row>
    <row r="16">
      <c r="A16" s="2"/>
      <c r="B16" s="567" t="s">
        <v>22</v>
      </c>
      <c r="C16" s="569" t="s">
        <v>166</v>
      </c>
      <c r="D16" s="569" t="s">
        <v>154</v>
      </c>
      <c r="E16" s="571" t="s">
        <v>174</v>
      </c>
      <c r="F16" s="572" t="s">
        <v>18</v>
      </c>
      <c r="G16" s="2"/>
      <c r="H16" s="252">
        <v>10.0</v>
      </c>
      <c r="I16" s="573" t="s">
        <v>74</v>
      </c>
      <c r="J16" s="575">
        <v>12.0</v>
      </c>
      <c r="K16" s="575">
        <v>8.0</v>
      </c>
      <c r="L16" s="575">
        <v>9.0</v>
      </c>
      <c r="M16" s="577">
        <v>15.0</v>
      </c>
      <c r="N16" s="573">
        <v>44.0</v>
      </c>
      <c r="O16" s="36"/>
    </row>
    <row r="17">
      <c r="A17" s="2"/>
      <c r="B17" s="579" t="s">
        <v>85</v>
      </c>
      <c r="C17" s="580" t="s">
        <v>162</v>
      </c>
      <c r="D17" s="580" t="s">
        <v>163</v>
      </c>
      <c r="E17" s="580" t="s">
        <v>141</v>
      </c>
      <c r="F17" s="581" t="s">
        <v>174</v>
      </c>
      <c r="G17" s="2"/>
      <c r="H17" s="218">
        <v>11.0</v>
      </c>
      <c r="I17" s="582" t="s">
        <v>91</v>
      </c>
      <c r="J17" s="583">
        <v>8.0</v>
      </c>
      <c r="K17" s="583">
        <v>7.0</v>
      </c>
      <c r="L17" s="583">
        <v>17.0</v>
      </c>
      <c r="M17" s="584">
        <v>14.0</v>
      </c>
      <c r="N17" s="582">
        <v>46.0</v>
      </c>
      <c r="O17" s="36"/>
    </row>
    <row r="18">
      <c r="A18" s="2"/>
      <c r="B18" s="585" t="s">
        <v>50</v>
      </c>
      <c r="C18" s="586" t="s">
        <v>162</v>
      </c>
      <c r="D18" s="587" t="s">
        <v>174</v>
      </c>
      <c r="E18" s="586" t="s">
        <v>166</v>
      </c>
      <c r="F18" s="588" t="s">
        <v>163</v>
      </c>
      <c r="G18" s="2"/>
      <c r="H18" s="589">
        <v>12.0</v>
      </c>
      <c r="I18" s="590" t="s">
        <v>14</v>
      </c>
      <c r="J18" s="591">
        <v>7.0</v>
      </c>
      <c r="K18" s="591">
        <v>12.0</v>
      </c>
      <c r="L18" s="591">
        <v>15.0</v>
      </c>
      <c r="M18" s="592">
        <v>13.0</v>
      </c>
      <c r="N18" s="590">
        <v>47.0</v>
      </c>
      <c r="O18" s="36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2">
    <mergeCell ref="B3:N4"/>
    <mergeCell ref="J6:M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7" max="7" width="3.75"/>
    <col customWidth="1" min="8" max="8" width="3.63"/>
    <col customWidth="1" min="10" max="13" width="4.0"/>
    <col customWidth="1" min="14" max="14" width="4.7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489" t="s">
        <v>137</v>
      </c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4"/>
      <c r="O3" s="2"/>
    </row>
    <row r="4">
      <c r="A4" s="2"/>
      <c r="B4" s="496"/>
      <c r="C4" s="497"/>
      <c r="D4" s="497"/>
      <c r="E4" s="497"/>
      <c r="F4" s="497"/>
      <c r="G4" s="497"/>
      <c r="H4" s="497"/>
      <c r="I4" s="497"/>
      <c r="J4" s="497"/>
      <c r="K4" s="497"/>
      <c r="L4" s="497"/>
      <c r="M4" s="497"/>
      <c r="N4" s="499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2"/>
      <c r="B6" s="493" t="s">
        <v>3</v>
      </c>
      <c r="C6" s="24" t="s">
        <v>4</v>
      </c>
      <c r="D6" s="24" t="s">
        <v>5</v>
      </c>
      <c r="E6" s="24" t="s">
        <v>6</v>
      </c>
      <c r="F6" s="33" t="s">
        <v>7</v>
      </c>
      <c r="G6" s="2"/>
      <c r="H6" s="11" t="s">
        <v>8</v>
      </c>
      <c r="I6" s="493" t="s">
        <v>3</v>
      </c>
      <c r="J6" s="24" t="s">
        <v>10</v>
      </c>
      <c r="K6" s="26"/>
      <c r="L6" s="26"/>
      <c r="M6" s="26"/>
      <c r="N6" s="33" t="s">
        <v>11</v>
      </c>
      <c r="O6" s="73" t="s">
        <v>145</v>
      </c>
    </row>
    <row r="7">
      <c r="A7" s="2"/>
      <c r="B7" s="503" t="s">
        <v>14</v>
      </c>
      <c r="C7" s="91" t="s">
        <v>146</v>
      </c>
      <c r="D7" s="91" t="s">
        <v>102</v>
      </c>
      <c r="E7" s="91" t="s">
        <v>100</v>
      </c>
      <c r="F7" s="505" t="s">
        <v>147</v>
      </c>
      <c r="G7" s="2"/>
      <c r="H7" s="513">
        <v>1.0</v>
      </c>
      <c r="I7" s="513" t="s">
        <v>14</v>
      </c>
      <c r="J7" s="515">
        <v>5.0</v>
      </c>
      <c r="K7" s="515">
        <v>6.0</v>
      </c>
      <c r="L7" s="515">
        <v>8.0</v>
      </c>
      <c r="M7" s="519">
        <v>4.0</v>
      </c>
      <c r="N7" s="513">
        <v>23.0</v>
      </c>
      <c r="O7" s="73">
        <v>100.0</v>
      </c>
    </row>
    <row r="8">
      <c r="A8" s="2"/>
      <c r="B8" s="512" t="s">
        <v>36</v>
      </c>
      <c r="C8" s="91" t="s">
        <v>150</v>
      </c>
      <c r="D8" s="91" t="s">
        <v>151</v>
      </c>
      <c r="E8" s="91" t="s">
        <v>152</v>
      </c>
      <c r="F8" s="505" t="s">
        <v>153</v>
      </c>
      <c r="G8" s="2"/>
      <c r="H8" s="522">
        <v>2.0</v>
      </c>
      <c r="I8" s="522" t="s">
        <v>49</v>
      </c>
      <c r="J8" s="523">
        <v>6.0</v>
      </c>
      <c r="K8" s="523">
        <v>9.0</v>
      </c>
      <c r="L8" s="523">
        <v>13.0</v>
      </c>
      <c r="M8" s="525">
        <v>4.0</v>
      </c>
      <c r="N8" s="522">
        <v>32.0</v>
      </c>
      <c r="O8" s="73">
        <v>40.0</v>
      </c>
    </row>
    <row r="9">
      <c r="A9" s="2"/>
      <c r="B9" s="521" t="s">
        <v>47</v>
      </c>
      <c r="C9" s="528" t="s">
        <v>156</v>
      </c>
      <c r="D9" s="91" t="s">
        <v>69</v>
      </c>
      <c r="E9" s="91" t="s">
        <v>157</v>
      </c>
      <c r="F9" s="505" t="s">
        <v>158</v>
      </c>
      <c r="G9" s="2"/>
      <c r="H9" s="521">
        <v>3.0</v>
      </c>
      <c r="I9" s="521" t="s">
        <v>47</v>
      </c>
      <c r="J9" s="530">
        <v>1.0</v>
      </c>
      <c r="K9" s="530">
        <v>2.0</v>
      </c>
      <c r="L9" s="530">
        <v>13.0</v>
      </c>
      <c r="M9" s="532">
        <v>17.0</v>
      </c>
      <c r="N9" s="521" t="s">
        <v>160</v>
      </c>
      <c r="O9" s="73">
        <v>20.0</v>
      </c>
    </row>
    <row r="10">
      <c r="A10" s="2"/>
      <c r="B10" s="522" t="s">
        <v>49</v>
      </c>
      <c r="C10" s="91" t="s">
        <v>102</v>
      </c>
      <c r="D10" s="91" t="s">
        <v>161</v>
      </c>
      <c r="E10" s="91" t="s">
        <v>157</v>
      </c>
      <c r="F10" s="505" t="s">
        <v>147</v>
      </c>
      <c r="G10" s="2"/>
      <c r="H10" s="310">
        <v>4.0</v>
      </c>
      <c r="I10" s="535" t="s">
        <v>28</v>
      </c>
      <c r="J10" s="538">
        <v>7.0</v>
      </c>
      <c r="K10" s="538">
        <v>1.0</v>
      </c>
      <c r="L10" s="538">
        <v>11.0</v>
      </c>
      <c r="M10" s="540">
        <v>14.0</v>
      </c>
      <c r="N10" s="535" t="s">
        <v>165</v>
      </c>
      <c r="O10" s="534"/>
    </row>
    <row r="11">
      <c r="A11" s="2"/>
      <c r="B11" s="535" t="s">
        <v>28</v>
      </c>
      <c r="C11" s="91" t="s">
        <v>152</v>
      </c>
      <c r="D11" s="528" t="s">
        <v>156</v>
      </c>
      <c r="E11" s="91" t="s">
        <v>150</v>
      </c>
      <c r="F11" s="505" t="s">
        <v>167</v>
      </c>
      <c r="G11" s="2"/>
      <c r="H11" s="545">
        <v>5.0</v>
      </c>
      <c r="I11" s="545" t="s">
        <v>74</v>
      </c>
      <c r="J11" s="547">
        <v>9.0</v>
      </c>
      <c r="K11" s="547">
        <v>10.0</v>
      </c>
      <c r="L11" s="547">
        <v>3.0</v>
      </c>
      <c r="M11" s="549">
        <v>12.0</v>
      </c>
      <c r="N11" s="545">
        <v>34.0</v>
      </c>
      <c r="O11" s="36"/>
    </row>
    <row r="12">
      <c r="A12" s="2"/>
      <c r="B12" s="545" t="s">
        <v>74</v>
      </c>
      <c r="C12" s="91" t="s">
        <v>161</v>
      </c>
      <c r="D12" s="91" t="s">
        <v>169</v>
      </c>
      <c r="E12" s="91" t="s">
        <v>151</v>
      </c>
      <c r="F12" s="505" t="s">
        <v>170</v>
      </c>
      <c r="G12" s="2"/>
      <c r="H12" s="512">
        <v>6.0</v>
      </c>
      <c r="I12" s="512" t="s">
        <v>36</v>
      </c>
      <c r="J12" s="554">
        <v>11.0</v>
      </c>
      <c r="K12" s="554">
        <v>3.0</v>
      </c>
      <c r="L12" s="554">
        <v>7.0</v>
      </c>
      <c r="M12" s="555">
        <v>16.0</v>
      </c>
      <c r="N12" s="512">
        <v>37.0</v>
      </c>
      <c r="O12" s="36"/>
    </row>
    <row r="13">
      <c r="A13" s="2"/>
      <c r="B13" s="559" t="s">
        <v>61</v>
      </c>
      <c r="C13" s="91" t="s">
        <v>100</v>
      </c>
      <c r="D13" s="91" t="s">
        <v>146</v>
      </c>
      <c r="E13" s="91" t="s">
        <v>167</v>
      </c>
      <c r="F13" s="505" t="s">
        <v>173</v>
      </c>
      <c r="G13" s="2"/>
      <c r="H13" s="561">
        <v>7.0</v>
      </c>
      <c r="I13" s="561" t="s">
        <v>85</v>
      </c>
      <c r="J13" s="563">
        <v>2.0</v>
      </c>
      <c r="K13" s="563">
        <v>10.0</v>
      </c>
      <c r="L13" s="563">
        <v>15.0</v>
      </c>
      <c r="M13" s="565">
        <v>12.0</v>
      </c>
      <c r="N13" s="561">
        <v>39.0</v>
      </c>
      <c r="O13" s="36"/>
    </row>
    <row r="14">
      <c r="A14" s="2"/>
      <c r="B14" s="568" t="s">
        <v>85</v>
      </c>
      <c r="C14" s="570" t="s">
        <v>69</v>
      </c>
      <c r="D14" s="570" t="s">
        <v>169</v>
      </c>
      <c r="E14" s="570" t="s">
        <v>173</v>
      </c>
      <c r="F14" s="347" t="s">
        <v>170</v>
      </c>
      <c r="G14" s="2"/>
      <c r="H14" s="574">
        <v>8.0</v>
      </c>
      <c r="I14" s="574" t="s">
        <v>61</v>
      </c>
      <c r="J14" s="576">
        <v>8.0</v>
      </c>
      <c r="K14" s="576">
        <v>5.0</v>
      </c>
      <c r="L14" s="576">
        <v>14.0</v>
      </c>
      <c r="M14" s="578">
        <v>15.0</v>
      </c>
      <c r="N14" s="574">
        <v>42.0</v>
      </c>
      <c r="O14" s="36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</sheetData>
  <mergeCells count="2">
    <mergeCell ref="B3:N4"/>
    <mergeCell ref="J6:M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2">
      <c r="H22" s="593"/>
    </row>
  </sheetData>
  <mergeCells count="1">
    <mergeCell ref="H22:J2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5" t="s">
        <v>175</v>
      </c>
      <c r="B1" s="175" t="s">
        <v>176</v>
      </c>
      <c r="C1" s="175" t="s">
        <v>177</v>
      </c>
      <c r="D1" s="175" t="s">
        <v>178</v>
      </c>
      <c r="E1" s="175" t="s">
        <v>179</v>
      </c>
      <c r="F1" s="594" t="s">
        <v>180</v>
      </c>
      <c r="G1" s="595" t="s">
        <v>181</v>
      </c>
    </row>
    <row r="2">
      <c r="A2" s="596">
        <v>23.0</v>
      </c>
      <c r="B2" s="596">
        <v>21.0</v>
      </c>
      <c r="C2" s="597">
        <v>20.0</v>
      </c>
      <c r="D2" s="597">
        <v>3.0</v>
      </c>
      <c r="E2" s="594">
        <v>4.0</v>
      </c>
      <c r="F2" s="175">
        <f>C2*E2</f>
        <v>80</v>
      </c>
      <c r="G2" s="598">
        <f>A2*D2</f>
        <v>69</v>
      </c>
    </row>
    <row r="5">
      <c r="E5" s="598">
        <f>25*23</f>
        <v>575</v>
      </c>
    </row>
    <row r="7">
      <c r="D7" s="598">
        <f>310+160+80+25</f>
        <v>575</v>
      </c>
    </row>
    <row r="8">
      <c r="F8" s="595">
        <f>0.55*575</f>
        <v>316.25</v>
      </c>
    </row>
    <row r="10">
      <c r="G10" s="598">
        <f>320/575</f>
        <v>0.5565217391</v>
      </c>
    </row>
    <row r="11">
      <c r="D11" s="598">
        <f>14+28+54</f>
        <v>96</v>
      </c>
      <c r="F11" s="598">
        <f>85/575</f>
        <v>0.147826087</v>
      </c>
    </row>
    <row r="12">
      <c r="D12" s="598">
        <f>25/575</f>
        <v>0.04347826087</v>
      </c>
    </row>
    <row r="14">
      <c r="E14" s="598">
        <f>575-320-170</f>
        <v>85</v>
      </c>
      <c r="G14" s="598">
        <f>25*23</f>
        <v>575</v>
      </c>
    </row>
    <row r="15">
      <c r="G15" s="598">
        <f>320+170+85</f>
        <v>575</v>
      </c>
    </row>
    <row r="16">
      <c r="E16" s="598">
        <f>310/575</f>
        <v>0.5391304348</v>
      </c>
      <c r="G16" s="598">
        <f>0.27*575</f>
        <v>155.25</v>
      </c>
    </row>
    <row r="17">
      <c r="G17" s="598">
        <f>320+155</f>
        <v>475</v>
      </c>
    </row>
    <row r="18">
      <c r="G18" s="598">
        <f>170/575</f>
        <v>0.2956521739</v>
      </c>
    </row>
    <row r="21">
      <c r="F21" s="598">
        <f>160/575</f>
        <v>0.2782608696</v>
      </c>
      <c r="G21" s="598">
        <f>80/575</f>
        <v>0.1391304348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75"/>
  </cols>
  <sheetData>
    <row r="1">
      <c r="A1" s="595" t="s">
        <v>13</v>
      </c>
      <c r="B1" s="595" t="s">
        <v>13</v>
      </c>
      <c r="C1" s="595" t="s">
        <v>13</v>
      </c>
    </row>
    <row r="2">
      <c r="A2" s="595" t="s">
        <v>29</v>
      </c>
      <c r="B2" s="595" t="s">
        <v>29</v>
      </c>
      <c r="C2" s="595" t="s">
        <v>29</v>
      </c>
    </row>
    <row r="3">
      <c r="A3" s="595" t="s">
        <v>42</v>
      </c>
      <c r="B3" s="595" t="s">
        <v>42</v>
      </c>
      <c r="C3" s="595" t="s">
        <v>42</v>
      </c>
    </row>
    <row r="4">
      <c r="A4" s="595" t="s">
        <v>36</v>
      </c>
      <c r="B4" s="595" t="s">
        <v>36</v>
      </c>
      <c r="C4" s="595" t="s">
        <v>36</v>
      </c>
    </row>
    <row r="5">
      <c r="A5" s="595" t="s">
        <v>28</v>
      </c>
      <c r="B5" s="595" t="s">
        <v>28</v>
      </c>
      <c r="C5" s="595" t="s">
        <v>28</v>
      </c>
    </row>
    <row r="6">
      <c r="A6" s="595" t="s">
        <v>58</v>
      </c>
      <c r="B6" s="595" t="s">
        <v>58</v>
      </c>
      <c r="C6" s="595" t="s">
        <v>58</v>
      </c>
    </row>
    <row r="7">
      <c r="A7" s="595" t="s">
        <v>32</v>
      </c>
      <c r="B7" s="595" t="s">
        <v>32</v>
      </c>
      <c r="C7" s="595" t="s">
        <v>32</v>
      </c>
    </row>
    <row r="8">
      <c r="A8" s="595" t="s">
        <v>61</v>
      </c>
      <c r="B8" s="595" t="s">
        <v>61</v>
      </c>
      <c r="C8" s="595" t="s">
        <v>61</v>
      </c>
    </row>
    <row r="9">
      <c r="A9" s="595" t="s">
        <v>47</v>
      </c>
      <c r="B9" s="595" t="s">
        <v>47</v>
      </c>
      <c r="C9" s="595" t="s">
        <v>47</v>
      </c>
    </row>
    <row r="10">
      <c r="A10" s="595" t="s">
        <v>66</v>
      </c>
      <c r="B10" s="595" t="s">
        <v>66</v>
      </c>
      <c r="C10" s="595" t="s">
        <v>66</v>
      </c>
    </row>
    <row r="11">
      <c r="A11" s="595" t="s">
        <v>70</v>
      </c>
      <c r="B11" s="595" t="s">
        <v>70</v>
      </c>
      <c r="C11" s="595" t="s">
        <v>70</v>
      </c>
    </row>
    <row r="12">
      <c r="A12" s="595" t="s">
        <v>60</v>
      </c>
      <c r="B12" s="595" t="s">
        <v>60</v>
      </c>
      <c r="C12" s="595" t="s">
        <v>60</v>
      </c>
    </row>
    <row r="13">
      <c r="A13" s="595" t="s">
        <v>49</v>
      </c>
      <c r="B13" s="595" t="s">
        <v>49</v>
      </c>
      <c r="C13" s="595" t="s">
        <v>49</v>
      </c>
    </row>
    <row r="14">
      <c r="A14" s="595" t="s">
        <v>68</v>
      </c>
      <c r="B14" s="595" t="s">
        <v>68</v>
      </c>
      <c r="C14" s="595" t="s">
        <v>68</v>
      </c>
    </row>
    <row r="15">
      <c r="A15" s="595" t="s">
        <v>21</v>
      </c>
      <c r="B15" s="595" t="s">
        <v>21</v>
      </c>
      <c r="C15" s="595" t="s">
        <v>21</v>
      </c>
    </row>
    <row r="16">
      <c r="A16" s="595" t="s">
        <v>57</v>
      </c>
      <c r="B16" s="595" t="s">
        <v>57</v>
      </c>
      <c r="C16" s="595" t="s">
        <v>57</v>
      </c>
    </row>
    <row r="17">
      <c r="A17" s="595" t="s">
        <v>78</v>
      </c>
      <c r="B17" s="595" t="s">
        <v>78</v>
      </c>
      <c r="C17" s="595" t="s">
        <v>78</v>
      </c>
    </row>
    <row r="18">
      <c r="A18" s="595" t="s">
        <v>74</v>
      </c>
      <c r="B18" s="595" t="s">
        <v>74</v>
      </c>
      <c r="C18" s="595" t="s">
        <v>74</v>
      </c>
    </row>
    <row r="19">
      <c r="A19" s="595" t="s">
        <v>22</v>
      </c>
      <c r="B19" s="595" t="s">
        <v>22</v>
      </c>
      <c r="C19" s="595" t="s">
        <v>22</v>
      </c>
    </row>
    <row r="20">
      <c r="A20" s="595" t="s">
        <v>50</v>
      </c>
      <c r="B20" s="595" t="s">
        <v>50</v>
      </c>
      <c r="C20" s="595" t="s">
        <v>50</v>
      </c>
    </row>
    <row r="21">
      <c r="A21" s="595" t="s">
        <v>85</v>
      </c>
      <c r="B21" s="595" t="s">
        <v>85</v>
      </c>
      <c r="C21" s="595" t="s">
        <v>85</v>
      </c>
    </row>
    <row r="22">
      <c r="A22" s="595" t="s">
        <v>63</v>
      </c>
      <c r="B22" s="595" t="s">
        <v>63</v>
      </c>
      <c r="C22" s="595" t="s">
        <v>63</v>
      </c>
    </row>
    <row r="23">
      <c r="A23" s="595" t="s">
        <v>46</v>
      </c>
      <c r="B23" s="595" t="s">
        <v>46</v>
      </c>
      <c r="C23" s="595" t="s">
        <v>46</v>
      </c>
    </row>
  </sheetData>
  <drawing r:id="rId1"/>
</worksheet>
</file>